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kychen/Documents/"/>
    </mc:Choice>
  </mc:AlternateContent>
  <xr:revisionPtr revIDLastSave="0" documentId="13_ncr:1_{15FA2824-F7D5-D84B-BD92-3EE54082F3AA}" xr6:coauthVersionLast="47" xr6:coauthVersionMax="47" xr10:uidLastSave="{00000000-0000-0000-0000-000000000000}"/>
  <bookViews>
    <workbookView xWindow="300" yWindow="2180" windowWidth="28040" windowHeight="14560" xr2:uid="{560B7747-47DD-224A-870E-000F651B0CEC}"/>
  </bookViews>
  <sheets>
    <sheet name="Sheet1" sheetId="1" r:id="rId1"/>
    <sheet name="Sheet2" sheetId="3" r:id="rId2"/>
  </sheets>
  <definedNames>
    <definedName name="downPayment">Sheet1!$K$4</definedName>
    <definedName name="homeValue">Sheet1!$K$3</definedName>
    <definedName name="interestRate">Sheet1!$K$6</definedName>
    <definedName name="loanTerm">Sheet1!$K$5</definedName>
    <definedName name="monthlyPayments">Sheet1!$K$10</definedName>
    <definedName name="periodsPerYear">Sheet1!$K$7</definedName>
    <definedName name="startDate">Sheet1!$K$2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3" l="1"/>
  <c r="F13" i="3"/>
  <c r="D14" i="3"/>
  <c r="A2" i="3"/>
  <c r="A3" i="3" s="1"/>
  <c r="A4" i="3" s="1"/>
  <c r="A5" i="3" s="1"/>
  <c r="A6" i="3" s="1"/>
  <c r="A7" i="3" s="1"/>
  <c r="A8" i="3" s="1"/>
  <c r="E7" i="3"/>
</calcChain>
</file>

<file path=xl/sharedStrings.xml><?xml version="1.0" encoding="utf-8"?>
<sst xmlns="http://schemas.openxmlformats.org/spreadsheetml/2006/main" count="21" uniqueCount="21">
  <si>
    <t>Payment</t>
  </si>
  <si>
    <t>Principal</t>
  </si>
  <si>
    <t>Interest</t>
  </si>
  <si>
    <t>Payment Date</t>
  </si>
  <si>
    <t>Total Interest</t>
  </si>
  <si>
    <t>Balance</t>
  </si>
  <si>
    <t>Loan Amount:</t>
  </si>
  <si>
    <t xml:space="preserve">Loan Term (years): </t>
  </si>
  <si>
    <t xml:space="preserve">Interest rate per year: </t>
  </si>
  <si>
    <t>Periods per Year:</t>
  </si>
  <si>
    <t xml:space="preserve">Monthly Payments: </t>
  </si>
  <si>
    <t>End Date:</t>
  </si>
  <si>
    <t xml:space="preserve">Total Interest: </t>
  </si>
  <si>
    <t xml:space="preserve">Total Amount: </t>
  </si>
  <si>
    <t xml:space="preserve">Per Period Interest Rate: </t>
  </si>
  <si>
    <t>Months per Period:</t>
  </si>
  <si>
    <t xml:space="preserve">Home Value: </t>
  </si>
  <si>
    <t xml:space="preserve">Down Payment: </t>
  </si>
  <si>
    <t xml:space="preserve">Total Loan Amount: </t>
  </si>
  <si>
    <t xml:space="preserve">Down Payment Amount: </t>
  </si>
  <si>
    <t xml:space="preserve">Start 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</si>
</sst>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8" formatCode="&quot;$&quot;#,##0.00_);[Red]\(&quot;$&quot;#,##0.00\)"/>
    <numFmt numFmtId="164" formatCode="&quot;$&quot;#,##0.00"/>
    <numFmt numFmtId="165" formatCode="0.0"/>
    <numFmt numFmtId="166" formatCode="0.0%"/>
  </numFmts>
  <fonts count="6" x14ac:knownFonts="1">
    <font>
      <sz val="12"/>
      <color theme="1"/>
      <name val="Aptos Narrow"/>
      <family val="2"/>
      <scheme val="minor"/>
    </font>
    <font>
      <sz val="12"/>
      <color theme="0" tint="-0.14999847407452621"/>
      <name val="American Typewriter"/>
      <family val="1"/>
    </font>
    <font>
      <sz val="12"/>
      <color theme="0" tint="-0.14999847407452621"/>
      <name val="Aptos Narrow"/>
      <family val="2"/>
      <scheme val="minor"/>
    </font>
    <font>
      <sz val="15"/>
      <color theme="0"/>
      <name val="American Typewriter"/>
      <family val="1"/>
    </font>
    <font>
      <sz val="12"/>
      <color theme="1"/>
      <name val="Aptos Narrow"/>
      <family val="2"/>
      <scheme val="minor"/>
    </font>
    <font>
      <sz val="12"/>
      <color theme="1" tint="0.1499984740745262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4">
    <xf numFmtId="0" fontId="0" fillId="0" borderId="0" xfId="0"/>
    <xf numFmtId="0" fontId="2" fillId="2" borderId="0" xfId="0" applyFont="1" applyFill="1"/>
    <xf numFmtId="164" fontId="2" fillId="2" borderId="0" xfId="0" applyNumberFormat="1" applyFont="1" applyFill="1"/>
    <xf numFmtId="0" fontId="3" fillId="2" borderId="1" xfId="0" applyFont="1" applyFill="1" applyBorder="1"/>
    <xf numFmtId="164" fontId="1" fillId="3" borderId="1" xfId="0" applyNumberFormat="1" applyFont="1" applyFill="1" applyBorder="1"/>
    <xf numFmtId="0" fontId="1" fillId="3" borderId="1" xfId="0" applyFont="1" applyFill="1" applyBorder="1"/>
    <xf numFmtId="9" fontId="1" fillId="3" borderId="1" xfId="0" applyNumberFormat="1" applyFont="1" applyFill="1" applyBorder="1"/>
    <xf numFmtId="14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2" borderId="2" xfId="0" applyFont="1" applyFill="1" applyBorder="1"/>
    <xf numFmtId="14" fontId="0" fillId="0" borderId="0" xfId="0" applyNumberFormat="1"/>
    <xf numFmtId="0" fontId="5" fillId="2" borderId="0" xfId="0" applyFont="1" applyFill="1"/>
    <xf numFmtId="164" fontId="1" fillId="4" borderId="1" xfId="0" applyNumberFormat="1" applyFont="1" applyFill="1" applyBorder="1"/>
    <xf numFmtId="166" fontId="1" fillId="4" borderId="1" xfId="1" applyNumberFormat="1" applyFont="1" applyFill="1" applyBorder="1"/>
    <xf numFmtId="165" fontId="1" fillId="4" borderId="1" xfId="1" applyNumberFormat="1" applyFont="1" applyFill="1" applyBorder="1"/>
    <xf numFmtId="14" fontId="1" fillId="4" borderId="1" xfId="0" applyNumberFormat="1" applyFont="1" applyFill="1" applyBorder="1"/>
    <xf numFmtId="10" fontId="1" fillId="3" borderId="1" xfId="0" applyNumberFormat="1" applyFont="1" applyFill="1" applyBorder="1"/>
    <xf numFmtId="14" fontId="1" fillId="3" borderId="1" xfId="0" applyNumberFormat="1" applyFont="1" applyFill="1" applyBorder="1" applyAlignment="1">
      <alignment horizontal="right"/>
    </xf>
    <xf numFmtId="8" fontId="2" fillId="2" borderId="0" xfId="0" applyNumberFormat="1" applyFont="1" applyFill="1"/>
    <xf numFmtId="7" fontId="1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C5DAA-0F10-7842-BB55-5EC1C6708B23}">
  <sheetPr codeName="Sheet1"/>
  <dimension ref="A1:L1201"/>
  <sheetViews>
    <sheetView tabSelected="1" workbookViewId="0">
      <pane ySplit="1" topLeftCell="A2" activePane="bottomLeft" state="frozen"/>
      <selection pane="bottomLeft" activeCell="K7" sqref="K7"/>
    </sheetView>
  </sheetViews>
  <sheetFormatPr baseColWidth="10" defaultRowHeight="16" x14ac:dyDescent="0.2"/>
  <cols>
    <col min="1" max="1" width="23.33203125" style="10" customWidth="1"/>
    <col min="2" max="2" width="23.83203125" style="9" customWidth="1"/>
    <col min="3" max="3" width="21.1640625" style="9" customWidth="1"/>
    <col min="4" max="4" width="25.1640625" style="9" customWidth="1"/>
    <col min="5" max="5" width="17.6640625" style="9" customWidth="1"/>
    <col min="6" max="6" width="21.83203125" style="11" customWidth="1"/>
    <col min="7" max="9" width="10.83203125" style="1"/>
    <col min="10" max="10" width="32.6640625" style="1" bestFit="1" customWidth="1"/>
    <col min="11" max="11" width="18.5" style="1" customWidth="1"/>
    <col min="12" max="12" width="10.83203125" style="1"/>
    <col min="13" max="13" width="11.83203125" style="1" bestFit="1" customWidth="1"/>
    <col min="14" max="16384" width="10.83203125" style="1"/>
  </cols>
  <sheetData>
    <row r="1" spans="1:12" ht="20" x14ac:dyDescent="0.25">
      <c r="A1" s="7" t="s">
        <v>3</v>
      </c>
      <c r="B1" s="23" t="s">
        <v>1</v>
      </c>
      <c r="C1" s="23" t="s">
        <v>2</v>
      </c>
      <c r="D1" s="23" t="s">
        <v>4</v>
      </c>
      <c r="E1" s="23" t="s">
        <v>0</v>
      </c>
      <c r="F1" s="8" t="s">
        <v>5</v>
      </c>
    </row>
    <row r="2" spans="1:12" ht="20" x14ac:dyDescent="0.25">
      <c r="A2" s="10">
        <v>45748</v>
      </c>
      <c r="B2" s="9">
        <v>352.15981181144161</v>
      </c>
      <c r="C2" s="9">
        <v>46875</v>
      </c>
      <c r="D2" s="9">
        <v>46875</v>
      </c>
      <c r="E2" s="9">
        <v>47227.159811811442</v>
      </c>
      <c r="F2" s="9">
        <v>1124647.8400000001</v>
      </c>
      <c r="J2" s="3" t="s">
        <v>20</v>
      </c>
      <c r="K2" s="20">
        <v>45717</v>
      </c>
      <c r="L2" s="14"/>
    </row>
    <row r="3" spans="1:12" ht="20" x14ac:dyDescent="0.25">
      <c r="A3" s="10">
        <v>45778</v>
      </c>
      <c r="B3" s="9">
        <v>366.833136811445</v>
      </c>
      <c r="C3" s="9">
        <v>46860.326674999997</v>
      </c>
      <c r="D3" s="9">
        <v>93735.326674999989</v>
      </c>
      <c r="E3" s="9">
        <v>47227.159811811442</v>
      </c>
      <c r="F3" s="9">
        <v>1124281.01</v>
      </c>
      <c r="J3" s="3" t="s">
        <v>16</v>
      </c>
      <c r="K3" s="4">
        <v>1250000</v>
      </c>
    </row>
    <row r="4" spans="1:12" ht="20" x14ac:dyDescent="0.25">
      <c r="A4" s="10">
        <v>45809</v>
      </c>
      <c r="B4" s="9">
        <v>382.11784931144211</v>
      </c>
      <c r="C4" s="9">
        <v>46845.041962499999</v>
      </c>
      <c r="D4" s="9">
        <v>140580.36863749998</v>
      </c>
      <c r="E4" s="9">
        <v>47227.159811811442</v>
      </c>
      <c r="F4" s="9">
        <v>1123898.8899999999</v>
      </c>
      <c r="J4" s="3" t="s">
        <v>17</v>
      </c>
      <c r="K4" s="19">
        <v>0.1</v>
      </c>
    </row>
    <row r="5" spans="1:12" ht="20" x14ac:dyDescent="0.25">
      <c r="A5" s="10">
        <v>45839</v>
      </c>
      <c r="B5" s="9">
        <v>398.03942431144969</v>
      </c>
      <c r="C5" s="9">
        <v>46829.120387499992</v>
      </c>
      <c r="D5" s="9">
        <v>187409.48902499996</v>
      </c>
      <c r="E5" s="9">
        <v>47227.159811811442</v>
      </c>
      <c r="F5" s="9">
        <v>1123500.8500000001</v>
      </c>
      <c r="J5" s="3" t="s">
        <v>7</v>
      </c>
      <c r="K5" s="5">
        <v>10</v>
      </c>
    </row>
    <row r="6" spans="1:12" ht="20" x14ac:dyDescent="0.25">
      <c r="A6" s="10">
        <v>45870</v>
      </c>
      <c r="B6" s="9">
        <v>414.62439931144036</v>
      </c>
      <c r="C6" s="9">
        <v>46812.535412500001</v>
      </c>
      <c r="D6" s="9">
        <v>234222.02443749996</v>
      </c>
      <c r="E6" s="9">
        <v>47227.159811811442</v>
      </c>
      <c r="F6" s="9">
        <v>1123086.23</v>
      </c>
      <c r="J6" s="3" t="s">
        <v>8</v>
      </c>
      <c r="K6" s="6">
        <v>0.5</v>
      </c>
    </row>
    <row r="7" spans="1:12" ht="20" x14ac:dyDescent="0.25">
      <c r="A7" s="10">
        <v>45901</v>
      </c>
      <c r="B7" s="9">
        <v>431.90041597811069</v>
      </c>
      <c r="C7" s="9">
        <v>46795.259395833331</v>
      </c>
      <c r="D7" s="9">
        <v>281017.28383333329</v>
      </c>
      <c r="E7" s="9">
        <v>47227.159811811442</v>
      </c>
      <c r="F7" s="9">
        <v>1122654.33</v>
      </c>
      <c r="J7" s="3" t="s">
        <v>9</v>
      </c>
      <c r="K7" s="5">
        <v>12</v>
      </c>
    </row>
    <row r="8" spans="1:12" ht="20" x14ac:dyDescent="0.25">
      <c r="A8" s="10">
        <v>45931</v>
      </c>
      <c r="B8" s="9">
        <v>449.89626597811002</v>
      </c>
      <c r="C8" s="9">
        <v>46777.263545833332</v>
      </c>
      <c r="D8" s="9">
        <v>327794.54737916664</v>
      </c>
      <c r="E8" s="9">
        <v>47227.159811811442</v>
      </c>
      <c r="F8" s="9">
        <v>1122204.43</v>
      </c>
      <c r="J8" s="3" t="s">
        <v>6</v>
      </c>
      <c r="K8" s="15">
        <v>1125000</v>
      </c>
    </row>
    <row r="9" spans="1:12" ht="20" x14ac:dyDescent="0.25">
      <c r="A9" s="10">
        <v>45962</v>
      </c>
      <c r="B9" s="9">
        <v>468.64194514477276</v>
      </c>
      <c r="C9" s="9">
        <v>46758.517866666669</v>
      </c>
      <c r="D9" s="9">
        <v>374553.06524583331</v>
      </c>
      <c r="E9" s="9">
        <v>47227.159811811442</v>
      </c>
      <c r="F9" s="9">
        <v>1121735.79</v>
      </c>
      <c r="J9" s="3" t="s">
        <v>19</v>
      </c>
      <c r="K9" s="15">
        <v>125000</v>
      </c>
    </row>
    <row r="10" spans="1:12" ht="20" x14ac:dyDescent="0.25">
      <c r="A10" s="10">
        <v>45992</v>
      </c>
      <c r="B10" s="9">
        <v>488.16869097811286</v>
      </c>
      <c r="C10" s="9">
        <v>46738.991120833329</v>
      </c>
      <c r="D10" s="9">
        <v>421292.05636666663</v>
      </c>
      <c r="E10" s="9">
        <v>47227.159811811442</v>
      </c>
      <c r="F10" s="9">
        <v>1121247.6200000001</v>
      </c>
      <c r="J10" s="3" t="s">
        <v>10</v>
      </c>
      <c r="K10" s="15">
        <v>47227.159811811442</v>
      </c>
      <c r="L10" s="2"/>
    </row>
    <row r="11" spans="1:12" ht="20" x14ac:dyDescent="0.25">
      <c r="A11" s="10">
        <v>46023</v>
      </c>
      <c r="B11" s="9">
        <v>508.50905347811204</v>
      </c>
      <c r="C11" s="9">
        <v>46718.65075833333</v>
      </c>
      <c r="D11" s="9">
        <v>468010.70712499996</v>
      </c>
      <c r="E11" s="9">
        <v>47227.159811811442</v>
      </c>
      <c r="F11" s="9">
        <v>1120739.1100000001</v>
      </c>
      <c r="J11" s="3" t="s">
        <v>14</v>
      </c>
      <c r="K11" s="16">
        <v>4.1666666666666664E-2</v>
      </c>
    </row>
    <row r="12" spans="1:12" ht="20" x14ac:dyDescent="0.25">
      <c r="A12" s="10">
        <v>46054</v>
      </c>
      <c r="B12" s="9">
        <v>529.69693264477974</v>
      </c>
      <c r="C12" s="9">
        <v>46697.462879166662</v>
      </c>
      <c r="D12" s="9">
        <v>514708.1700041666</v>
      </c>
      <c r="E12" s="9">
        <v>47227.159811811442</v>
      </c>
      <c r="F12" s="9">
        <v>1120209.4099999999</v>
      </c>
      <c r="J12" s="3" t="s">
        <v>15</v>
      </c>
      <c r="K12" s="17">
        <v>1</v>
      </c>
    </row>
    <row r="13" spans="1:12" ht="20" x14ac:dyDescent="0.25">
      <c r="A13" s="10">
        <v>46082</v>
      </c>
      <c r="B13" s="9">
        <v>551.76763681144803</v>
      </c>
      <c r="C13" s="9">
        <v>46675.392174999994</v>
      </c>
      <c r="D13" s="9">
        <v>561383.56217916659</v>
      </c>
      <c r="E13" s="9">
        <v>47227.159811811442</v>
      </c>
      <c r="F13" s="9">
        <v>1119657.6399999999</v>
      </c>
      <c r="J13" s="12" t="s">
        <v>11</v>
      </c>
      <c r="K13" s="18">
        <v>49400</v>
      </c>
    </row>
    <row r="14" spans="1:12" ht="20" x14ac:dyDescent="0.25">
      <c r="A14" s="10">
        <v>46113</v>
      </c>
      <c r="B14" s="9">
        <v>574.75795347811072</v>
      </c>
      <c r="C14" s="9">
        <v>46652.401858333331</v>
      </c>
      <c r="D14" s="9">
        <v>608035.96403749997</v>
      </c>
      <c r="E14" s="9">
        <v>47227.159811811442</v>
      </c>
      <c r="F14" s="9">
        <v>1119082.8899999999</v>
      </c>
      <c r="J14" s="12" t="s">
        <v>12</v>
      </c>
      <c r="K14" s="15">
        <v>4542259.18</v>
      </c>
    </row>
    <row r="15" spans="1:12" ht="20" x14ac:dyDescent="0.25">
      <c r="A15" s="10">
        <v>46143</v>
      </c>
      <c r="B15" s="9">
        <v>598.70620347810473</v>
      </c>
      <c r="C15" s="9">
        <v>46628.453608333337</v>
      </c>
      <c r="D15" s="9">
        <v>654664.41764583334</v>
      </c>
      <c r="E15" s="9">
        <v>47227.159811811442</v>
      </c>
      <c r="F15" s="9">
        <v>1118484.18</v>
      </c>
      <c r="J15" s="12" t="s">
        <v>18</v>
      </c>
      <c r="K15" s="15">
        <v>5667259.1799999997</v>
      </c>
    </row>
    <row r="16" spans="1:12" ht="20" x14ac:dyDescent="0.25">
      <c r="A16" s="10">
        <v>46174</v>
      </c>
      <c r="B16" s="9">
        <v>623.65229514477687</v>
      </c>
      <c r="C16" s="9">
        <v>46603.507516666665</v>
      </c>
      <c r="D16" s="9">
        <v>701267.9251625</v>
      </c>
      <c r="E16" s="9">
        <v>47227.159811811442</v>
      </c>
      <c r="F16" s="9">
        <v>1117860.53</v>
      </c>
      <c r="J16" s="12" t="s">
        <v>13</v>
      </c>
      <c r="K16" s="15">
        <v>5792259.1774000004</v>
      </c>
    </row>
    <row r="17" spans="1:10" x14ac:dyDescent="0.2">
      <c r="A17" s="10">
        <v>46204</v>
      </c>
      <c r="B17" s="9">
        <v>649.63780764477997</v>
      </c>
      <c r="C17" s="9">
        <v>46577.522004166662</v>
      </c>
      <c r="D17" s="9">
        <v>747845.44716666662</v>
      </c>
      <c r="E17" s="9">
        <v>47227.159811811442</v>
      </c>
      <c r="F17" s="9">
        <v>1117210.8899999999</v>
      </c>
    </row>
    <row r="18" spans="1:10" x14ac:dyDescent="0.2">
      <c r="A18" s="10">
        <v>46235</v>
      </c>
      <c r="B18" s="9">
        <v>676.70604931144044</v>
      </c>
      <c r="C18" s="9">
        <v>46550.453762500001</v>
      </c>
      <c r="D18" s="9">
        <v>794395.90092916659</v>
      </c>
      <c r="E18" s="9">
        <v>47227.159811811442</v>
      </c>
      <c r="F18" s="9">
        <v>1116534.18</v>
      </c>
      <c r="J18" s="2"/>
    </row>
    <row r="19" spans="1:10" x14ac:dyDescent="0.2">
      <c r="A19" s="10">
        <v>46266</v>
      </c>
      <c r="B19" s="9">
        <v>704.90213264477643</v>
      </c>
      <c r="C19" s="9">
        <v>46522.257679166665</v>
      </c>
      <c r="D19" s="9">
        <v>840918.15860833321</v>
      </c>
      <c r="E19" s="9">
        <v>47227.159811811442</v>
      </c>
      <c r="F19" s="9">
        <v>1115829.28</v>
      </c>
      <c r="J19" s="21"/>
    </row>
    <row r="20" spans="1:10" x14ac:dyDescent="0.2">
      <c r="A20" s="10">
        <v>46296</v>
      </c>
      <c r="B20" s="9">
        <v>734.27305347810761</v>
      </c>
      <c r="C20" s="9">
        <v>46492.886758333334</v>
      </c>
      <c r="D20" s="9">
        <v>887411.04536666651</v>
      </c>
      <c r="E20" s="9">
        <v>47227.159811811442</v>
      </c>
      <c r="F20" s="9">
        <v>1115095.01</v>
      </c>
    </row>
    <row r="21" spans="1:10" x14ac:dyDescent="0.2">
      <c r="A21" s="10">
        <v>46327</v>
      </c>
      <c r="B21" s="9">
        <v>764.86776597811695</v>
      </c>
      <c r="C21" s="9">
        <v>46462.292045833325</v>
      </c>
      <c r="D21" s="9">
        <v>933873.33741249982</v>
      </c>
      <c r="E21" s="9">
        <v>47227.159811811442</v>
      </c>
      <c r="F21" s="9">
        <v>1114330.1399999999</v>
      </c>
    </row>
    <row r="22" spans="1:10" x14ac:dyDescent="0.2">
      <c r="A22" s="10">
        <v>46357</v>
      </c>
      <c r="B22" s="9">
        <v>796.73725764477422</v>
      </c>
      <c r="C22" s="9">
        <v>46430.422554166667</v>
      </c>
      <c r="D22" s="9">
        <v>980303.75996666646</v>
      </c>
      <c r="E22" s="9">
        <v>47227.159811811442</v>
      </c>
      <c r="F22" s="9">
        <v>1113533.3999999999</v>
      </c>
    </row>
    <row r="23" spans="1:10" x14ac:dyDescent="0.2">
      <c r="A23" s="10">
        <v>46388</v>
      </c>
      <c r="B23" s="9">
        <v>829.93464514477091</v>
      </c>
      <c r="C23" s="9">
        <v>46397.225166666671</v>
      </c>
      <c r="D23" s="9">
        <v>1026700.9851333331</v>
      </c>
      <c r="E23" s="9">
        <v>47227.159811811442</v>
      </c>
      <c r="F23" s="9">
        <v>1112703.47</v>
      </c>
    </row>
    <row r="24" spans="1:10" x14ac:dyDescent="0.2">
      <c r="A24" s="10">
        <v>46419</v>
      </c>
      <c r="B24" s="9">
        <v>864.51525347810821</v>
      </c>
      <c r="C24" s="9">
        <v>46362.644558333333</v>
      </c>
      <c r="D24" s="9">
        <v>1073063.6296916665</v>
      </c>
      <c r="E24" s="9">
        <v>47227.159811811442</v>
      </c>
      <c r="F24" s="9">
        <v>1111838.95</v>
      </c>
    </row>
    <row r="25" spans="1:10" x14ac:dyDescent="0.2">
      <c r="A25" s="10">
        <v>46447</v>
      </c>
      <c r="B25" s="9">
        <v>900.53672431144514</v>
      </c>
      <c r="C25" s="9">
        <v>46326.623087499996</v>
      </c>
      <c r="D25" s="9">
        <v>1119390.2527791664</v>
      </c>
      <c r="E25" s="9">
        <v>47227.159811811442</v>
      </c>
      <c r="F25" s="9">
        <v>1110938.42</v>
      </c>
    </row>
    <row r="26" spans="1:10" x14ac:dyDescent="0.2">
      <c r="A26" s="10">
        <v>46478</v>
      </c>
      <c r="B26" s="9">
        <v>938.05908681144501</v>
      </c>
      <c r="C26" s="9">
        <v>46289.100724999997</v>
      </c>
      <c r="D26" s="9">
        <v>1165679.3535041665</v>
      </c>
      <c r="E26" s="9">
        <v>47227.159811811442</v>
      </c>
      <c r="F26" s="9">
        <v>1110000.3600000001</v>
      </c>
    </row>
    <row r="27" spans="1:10" x14ac:dyDescent="0.2">
      <c r="A27" s="10">
        <v>46508</v>
      </c>
      <c r="B27" s="9">
        <v>977.14488264478132</v>
      </c>
      <c r="C27" s="9">
        <v>46250.01492916666</v>
      </c>
      <c r="D27" s="9">
        <v>1211929.3684333332</v>
      </c>
      <c r="E27" s="9">
        <v>47227.159811811442</v>
      </c>
      <c r="F27" s="9">
        <v>1109023.21</v>
      </c>
    </row>
    <row r="28" spans="1:10" x14ac:dyDescent="0.2">
      <c r="A28" s="10">
        <v>46539</v>
      </c>
      <c r="B28" s="9">
        <v>1017.8592534781128</v>
      </c>
      <c r="C28" s="9">
        <v>46209.300558333329</v>
      </c>
      <c r="D28" s="9">
        <v>1258138.6689916665</v>
      </c>
      <c r="E28" s="9">
        <v>47227.159811811442</v>
      </c>
      <c r="F28" s="9">
        <v>1108005.3500000001</v>
      </c>
    </row>
    <row r="29" spans="1:10" x14ac:dyDescent="0.2">
      <c r="A29" s="10">
        <v>46569</v>
      </c>
      <c r="B29" s="9">
        <v>1060.2700576447751</v>
      </c>
      <c r="C29" s="9">
        <v>46166.889754166667</v>
      </c>
      <c r="D29" s="9">
        <v>1304305.5587458331</v>
      </c>
      <c r="E29" s="9">
        <v>47227.159811811442</v>
      </c>
      <c r="F29" s="9">
        <v>1106945.08</v>
      </c>
    </row>
    <row r="30" spans="1:10" x14ac:dyDescent="0.2">
      <c r="A30" s="10">
        <v>46600</v>
      </c>
      <c r="B30" s="9">
        <v>1104.447978478107</v>
      </c>
      <c r="C30" s="9">
        <v>46122.711833333335</v>
      </c>
      <c r="D30" s="9">
        <v>1350428.2705791665</v>
      </c>
      <c r="E30" s="9">
        <v>47227.159811811442</v>
      </c>
      <c r="F30" s="9">
        <v>1105840.6399999999</v>
      </c>
    </row>
    <row r="31" spans="1:10" x14ac:dyDescent="0.2">
      <c r="A31" s="10">
        <v>46631</v>
      </c>
      <c r="B31" s="9">
        <v>1150.4666451447774</v>
      </c>
      <c r="C31" s="9">
        <v>46076.693166666664</v>
      </c>
      <c r="D31" s="9">
        <v>1396504.9637458331</v>
      </c>
      <c r="E31" s="9">
        <v>47227.159811811442</v>
      </c>
      <c r="F31" s="9">
        <v>1104690.17</v>
      </c>
    </row>
    <row r="32" spans="1:10" x14ac:dyDescent="0.2">
      <c r="A32" s="10">
        <v>46661</v>
      </c>
      <c r="B32" s="9">
        <v>1198.4027534781126</v>
      </c>
      <c r="C32" s="9">
        <v>46028.757058333329</v>
      </c>
      <c r="D32" s="9">
        <v>1442533.7208041665</v>
      </c>
      <c r="E32" s="9">
        <v>47227.159811811442</v>
      </c>
      <c r="F32" s="9">
        <v>1103491.77</v>
      </c>
    </row>
    <row r="33" spans="1:6" x14ac:dyDescent="0.2">
      <c r="A33" s="10">
        <v>46692</v>
      </c>
      <c r="B33" s="9">
        <v>1248.3362034781094</v>
      </c>
      <c r="C33" s="9">
        <v>45978.823608333332</v>
      </c>
      <c r="D33" s="9">
        <v>1488512.5444124998</v>
      </c>
      <c r="E33" s="9">
        <v>47227.159811811442</v>
      </c>
      <c r="F33" s="9">
        <v>1102243.43</v>
      </c>
    </row>
    <row r="34" spans="1:6" x14ac:dyDescent="0.2">
      <c r="A34" s="10">
        <v>46722</v>
      </c>
      <c r="B34" s="9">
        <v>1300.3502118114484</v>
      </c>
      <c r="C34" s="9">
        <v>45926.809599999993</v>
      </c>
      <c r="D34" s="9">
        <v>1534439.3540124998</v>
      </c>
      <c r="E34" s="9">
        <v>47227.159811811442</v>
      </c>
      <c r="F34" s="9">
        <v>1100943.08</v>
      </c>
    </row>
    <row r="35" spans="1:6" x14ac:dyDescent="0.2">
      <c r="A35" s="10">
        <v>46753</v>
      </c>
      <c r="B35" s="9">
        <v>1354.5314701447787</v>
      </c>
      <c r="C35" s="9">
        <v>45872.628341666663</v>
      </c>
      <c r="D35" s="9">
        <v>1580311.9823541665</v>
      </c>
      <c r="E35" s="9">
        <v>47227.159811811442</v>
      </c>
      <c r="F35" s="9">
        <v>1099588.55</v>
      </c>
    </row>
    <row r="36" spans="1:6" x14ac:dyDescent="0.2">
      <c r="A36" s="10">
        <v>46784</v>
      </c>
      <c r="B36" s="9">
        <v>1410.9702826447829</v>
      </c>
      <c r="C36" s="9">
        <v>45816.189529166659</v>
      </c>
      <c r="D36" s="9">
        <v>1626128.171883333</v>
      </c>
      <c r="E36" s="9">
        <v>47227.159811811442</v>
      </c>
      <c r="F36" s="9">
        <v>1098177.58</v>
      </c>
    </row>
    <row r="37" spans="1:6" x14ac:dyDescent="0.2">
      <c r="A37" s="10">
        <v>46813</v>
      </c>
      <c r="B37" s="9">
        <v>1469.7607118114465</v>
      </c>
      <c r="C37" s="9">
        <v>45757.399099999995</v>
      </c>
      <c r="D37" s="9">
        <v>1671885.570983333</v>
      </c>
      <c r="E37" s="9">
        <v>47227.159811811442</v>
      </c>
      <c r="F37" s="9">
        <v>1096707.82</v>
      </c>
    </row>
    <row r="38" spans="1:6" x14ac:dyDescent="0.2">
      <c r="A38" s="10">
        <v>46844</v>
      </c>
      <c r="B38" s="9">
        <v>1531.0007409781101</v>
      </c>
      <c r="C38" s="9">
        <v>45696.159070833331</v>
      </c>
      <c r="D38" s="9">
        <v>1717581.7300541664</v>
      </c>
      <c r="E38" s="9">
        <v>47227.159811811442</v>
      </c>
      <c r="F38" s="9">
        <v>1095176.82</v>
      </c>
    </row>
    <row r="39" spans="1:6" x14ac:dyDescent="0.2">
      <c r="A39" s="10">
        <v>46874</v>
      </c>
      <c r="B39" s="9">
        <v>1594.79243681144</v>
      </c>
      <c r="C39" s="9">
        <v>45632.367375000002</v>
      </c>
      <c r="D39" s="9">
        <v>1763214.0974291663</v>
      </c>
      <c r="E39" s="9">
        <v>47227.159811811442</v>
      </c>
      <c r="F39" s="9">
        <v>1093582.02</v>
      </c>
    </row>
    <row r="40" spans="1:6" x14ac:dyDescent="0.2">
      <c r="A40" s="10">
        <v>46905</v>
      </c>
      <c r="B40" s="9">
        <v>1661.2421201447796</v>
      </c>
      <c r="C40" s="9">
        <v>45565.917691666662</v>
      </c>
      <c r="D40" s="9">
        <v>1808780.0151208329</v>
      </c>
      <c r="E40" s="9">
        <v>47227.159811811442</v>
      </c>
      <c r="F40" s="9">
        <v>1091920.78</v>
      </c>
    </row>
    <row r="41" spans="1:6" x14ac:dyDescent="0.2">
      <c r="A41" s="10">
        <v>46935</v>
      </c>
      <c r="B41" s="9">
        <v>1730.4605409781143</v>
      </c>
      <c r="C41" s="9">
        <v>45496.699270833327</v>
      </c>
      <c r="D41" s="9">
        <v>1854276.7143916662</v>
      </c>
      <c r="E41" s="9">
        <v>47227.159811811442</v>
      </c>
      <c r="F41" s="9">
        <v>1090190.32</v>
      </c>
    </row>
    <row r="42" spans="1:6" x14ac:dyDescent="0.2">
      <c r="A42" s="10">
        <v>46966</v>
      </c>
      <c r="B42" s="9">
        <v>1802.5630618114446</v>
      </c>
      <c r="C42" s="9">
        <v>45424.596749999997</v>
      </c>
      <c r="D42" s="9">
        <v>1899701.3111416663</v>
      </c>
      <c r="E42" s="9">
        <v>47227.159811811442</v>
      </c>
      <c r="F42" s="9">
        <v>1088387.76</v>
      </c>
    </row>
    <row r="43" spans="1:6" x14ac:dyDescent="0.2">
      <c r="A43" s="10">
        <v>46997</v>
      </c>
      <c r="B43" s="9">
        <v>1877.6698576447743</v>
      </c>
      <c r="C43" s="9">
        <v>45349.489954166667</v>
      </c>
      <c r="D43" s="9">
        <v>1945050.8010958328</v>
      </c>
      <c r="E43" s="9">
        <v>47227.159811811442</v>
      </c>
      <c r="F43" s="9">
        <v>1086510.0900000001</v>
      </c>
    </row>
    <row r="44" spans="1:6" x14ac:dyDescent="0.2">
      <c r="A44" s="10">
        <v>47027</v>
      </c>
      <c r="B44" s="9">
        <v>1955.9061034781116</v>
      </c>
      <c r="C44" s="9">
        <v>45271.25370833333</v>
      </c>
      <c r="D44" s="9">
        <v>1990322.0548041661</v>
      </c>
      <c r="E44" s="9">
        <v>47227.159811811442</v>
      </c>
      <c r="F44" s="9">
        <v>1084554.18</v>
      </c>
    </row>
    <row r="45" spans="1:6" x14ac:dyDescent="0.2">
      <c r="A45" s="10">
        <v>47058</v>
      </c>
      <c r="B45" s="9">
        <v>2037.402190978115</v>
      </c>
      <c r="C45" s="9">
        <v>45189.757620833327</v>
      </c>
      <c r="D45" s="9">
        <v>2035511.8124249994</v>
      </c>
      <c r="E45" s="9">
        <v>47227.159811811442</v>
      </c>
      <c r="F45" s="9">
        <v>1082516.78</v>
      </c>
    </row>
    <row r="46" spans="1:6" x14ac:dyDescent="0.2">
      <c r="A46" s="10">
        <v>47088</v>
      </c>
      <c r="B46" s="9">
        <v>2122.2939493114463</v>
      </c>
      <c r="C46" s="9">
        <v>45104.865862499995</v>
      </c>
      <c r="D46" s="9">
        <v>2080616.6782874994</v>
      </c>
      <c r="E46" s="9">
        <v>47227.159811811442</v>
      </c>
      <c r="F46" s="9">
        <v>1080394.49</v>
      </c>
    </row>
    <row r="47" spans="1:6" x14ac:dyDescent="0.2">
      <c r="A47" s="10">
        <v>47119</v>
      </c>
      <c r="B47" s="9">
        <v>2210.7228618114386</v>
      </c>
      <c r="C47" s="9">
        <v>45016.436950000003</v>
      </c>
      <c r="D47" s="9">
        <v>2125633.1152374996</v>
      </c>
      <c r="E47" s="9">
        <v>47227.159811811442</v>
      </c>
      <c r="F47" s="9">
        <v>1078183.76</v>
      </c>
    </row>
    <row r="48" spans="1:6" x14ac:dyDescent="0.2">
      <c r="A48" s="10">
        <v>47150</v>
      </c>
      <c r="B48" s="9">
        <v>2302.8363159781147</v>
      </c>
      <c r="C48" s="9">
        <v>44924.323495833327</v>
      </c>
      <c r="D48" s="9">
        <v>2170557.4387333328</v>
      </c>
      <c r="E48" s="9">
        <v>47227.159811811442</v>
      </c>
      <c r="F48" s="9">
        <v>1075880.93</v>
      </c>
    </row>
    <row r="49" spans="1:6" x14ac:dyDescent="0.2">
      <c r="A49" s="10">
        <v>47178</v>
      </c>
      <c r="B49" s="9">
        <v>2398.7878284781109</v>
      </c>
      <c r="C49" s="9">
        <v>44828.371983333331</v>
      </c>
      <c r="D49" s="9">
        <v>2215385.8107166663</v>
      </c>
      <c r="E49" s="9">
        <v>47227.159811811442</v>
      </c>
      <c r="F49" s="9">
        <v>1073482.1399999999</v>
      </c>
    </row>
    <row r="50" spans="1:6" x14ac:dyDescent="0.2">
      <c r="A50" s="10">
        <v>47209</v>
      </c>
      <c r="B50" s="9">
        <v>2498.7373201447772</v>
      </c>
      <c r="C50" s="9">
        <v>44728.422491666664</v>
      </c>
      <c r="D50" s="9">
        <v>2260114.2332083331</v>
      </c>
      <c r="E50" s="9">
        <v>47227.159811811442</v>
      </c>
      <c r="F50" s="9">
        <v>1070983.3999999999</v>
      </c>
    </row>
    <row r="51" spans="1:6" x14ac:dyDescent="0.2">
      <c r="A51" s="10">
        <v>47239</v>
      </c>
      <c r="B51" s="9">
        <v>2602.8513743114381</v>
      </c>
      <c r="C51" s="9">
        <v>44624.308437500003</v>
      </c>
      <c r="D51" s="9">
        <v>2304738.5416458333</v>
      </c>
      <c r="E51" s="9">
        <v>47227.159811811442</v>
      </c>
      <c r="F51" s="9">
        <v>1068380.55</v>
      </c>
    </row>
    <row r="52" spans="1:6" x14ac:dyDescent="0.2">
      <c r="A52" s="10">
        <v>47270</v>
      </c>
      <c r="B52" s="9">
        <v>2711.3035159781066</v>
      </c>
      <c r="C52" s="9">
        <v>44515.856295833335</v>
      </c>
      <c r="D52" s="9">
        <v>2349254.3979416667</v>
      </c>
      <c r="E52" s="9">
        <v>47227.159811811442</v>
      </c>
      <c r="F52" s="9">
        <v>1065669.25</v>
      </c>
    </row>
    <row r="53" spans="1:6" x14ac:dyDescent="0.2">
      <c r="A53" s="10">
        <v>47300</v>
      </c>
      <c r="B53" s="9">
        <v>2824.2744951447821</v>
      </c>
      <c r="C53" s="9">
        <v>44402.885316666659</v>
      </c>
      <c r="D53" s="9">
        <v>2393657.2832583333</v>
      </c>
      <c r="E53" s="9">
        <v>47227.159811811442</v>
      </c>
      <c r="F53" s="9">
        <v>1062844.97</v>
      </c>
    </row>
    <row r="54" spans="1:6" x14ac:dyDescent="0.2">
      <c r="A54" s="10">
        <v>47331</v>
      </c>
      <c r="B54" s="9">
        <v>2941.9525993114439</v>
      </c>
      <c r="C54" s="9">
        <v>44285.207212499998</v>
      </c>
      <c r="D54" s="9">
        <v>2437942.4904708331</v>
      </c>
      <c r="E54" s="9">
        <v>47227.159811811442</v>
      </c>
      <c r="F54" s="9">
        <v>1059903.02</v>
      </c>
    </row>
    <row r="55" spans="1:6" x14ac:dyDescent="0.2">
      <c r="A55" s="10">
        <v>47362</v>
      </c>
      <c r="B55" s="9">
        <v>3064.5339576447732</v>
      </c>
      <c r="C55" s="9">
        <v>44162.625854166668</v>
      </c>
      <c r="D55" s="9">
        <v>2482105.1163249998</v>
      </c>
      <c r="E55" s="9">
        <v>47227.159811811442</v>
      </c>
      <c r="F55" s="9">
        <v>1056838.49</v>
      </c>
    </row>
    <row r="56" spans="1:6" x14ac:dyDescent="0.2">
      <c r="A56" s="10">
        <v>47392</v>
      </c>
      <c r="B56" s="9">
        <v>3192.2228743114392</v>
      </c>
      <c r="C56" s="9">
        <v>44034.936937500002</v>
      </c>
      <c r="D56" s="9">
        <v>2526140.0532624996</v>
      </c>
      <c r="E56" s="9">
        <v>47227.159811811442</v>
      </c>
      <c r="F56" s="9">
        <v>1053646.26</v>
      </c>
    </row>
    <row r="57" spans="1:6" x14ac:dyDescent="0.2">
      <c r="A57" s="10">
        <v>47423</v>
      </c>
      <c r="B57" s="9">
        <v>3325.2321618114438</v>
      </c>
      <c r="C57" s="9">
        <v>43901.927649999998</v>
      </c>
      <c r="D57" s="9">
        <v>2570041.9809124996</v>
      </c>
      <c r="E57" s="9">
        <v>47227.159811811442</v>
      </c>
      <c r="F57" s="9">
        <v>1050321.03</v>
      </c>
    </row>
    <row r="58" spans="1:6" x14ac:dyDescent="0.2">
      <c r="A58" s="10">
        <v>47453</v>
      </c>
      <c r="B58" s="9">
        <v>3463.7835034781092</v>
      </c>
      <c r="C58" s="9">
        <v>43763.376308333332</v>
      </c>
      <c r="D58" s="9">
        <v>2613805.3572208327</v>
      </c>
      <c r="E58" s="9">
        <v>47227.159811811442</v>
      </c>
      <c r="F58" s="9">
        <v>1046857.25</v>
      </c>
    </row>
    <row r="59" spans="1:6" x14ac:dyDescent="0.2">
      <c r="A59" s="10">
        <v>47484</v>
      </c>
      <c r="B59" s="9">
        <v>3608.10781597811</v>
      </c>
      <c r="C59" s="9">
        <v>43619.051995833332</v>
      </c>
      <c r="D59" s="9">
        <v>2657424.4092166661</v>
      </c>
      <c r="E59" s="9">
        <v>47227.159811811442</v>
      </c>
      <c r="F59" s="9">
        <v>1043249.14</v>
      </c>
    </row>
    <row r="60" spans="1:6" x14ac:dyDescent="0.2">
      <c r="A60" s="10">
        <v>47515</v>
      </c>
      <c r="B60" s="9">
        <v>3758.4456409781124</v>
      </c>
      <c r="C60" s="9">
        <v>43468.714170833329</v>
      </c>
      <c r="D60" s="9">
        <v>2700893.1233874992</v>
      </c>
      <c r="E60" s="9">
        <v>47227.159811811442</v>
      </c>
      <c r="F60" s="9">
        <v>1039490.69</v>
      </c>
    </row>
    <row r="61" spans="1:6" x14ac:dyDescent="0.2">
      <c r="A61" s="10">
        <v>47543</v>
      </c>
      <c r="B61" s="9">
        <v>3915.0475409781138</v>
      </c>
      <c r="C61" s="9">
        <v>43312.112270833328</v>
      </c>
      <c r="D61" s="9">
        <v>2744205.2356583327</v>
      </c>
      <c r="E61" s="9">
        <v>47227.159811811442</v>
      </c>
      <c r="F61" s="9">
        <v>1035575.65</v>
      </c>
    </row>
    <row r="62" spans="1:6" x14ac:dyDescent="0.2">
      <c r="A62" s="10">
        <v>47574</v>
      </c>
      <c r="B62" s="9">
        <v>4078.1745201447775</v>
      </c>
      <c r="C62" s="9">
        <v>43148.985291666664</v>
      </c>
      <c r="D62" s="9">
        <v>2787354.2209499995</v>
      </c>
      <c r="E62" s="9">
        <v>47227.159811811442</v>
      </c>
      <c r="F62" s="9">
        <v>1031497.47</v>
      </c>
    </row>
    <row r="63" spans="1:6" x14ac:dyDescent="0.2">
      <c r="A63" s="10">
        <v>47604</v>
      </c>
      <c r="B63" s="9">
        <v>4248.0984576447736</v>
      </c>
      <c r="C63" s="9">
        <v>42979.061354166668</v>
      </c>
      <c r="D63" s="9">
        <v>2830333.2823041664</v>
      </c>
      <c r="E63" s="9">
        <v>47227.159811811442</v>
      </c>
      <c r="F63" s="9">
        <v>1027249.37</v>
      </c>
    </row>
    <row r="64" spans="1:6" x14ac:dyDescent="0.2">
      <c r="A64" s="10">
        <v>47635</v>
      </c>
      <c r="B64" s="9">
        <v>4425.1025618114436</v>
      </c>
      <c r="C64" s="9">
        <v>42802.057249999998</v>
      </c>
      <c r="D64" s="9">
        <v>2873135.3395541664</v>
      </c>
      <c r="E64" s="9">
        <v>47227.159811811442</v>
      </c>
      <c r="F64" s="9">
        <v>1022824.27</v>
      </c>
    </row>
    <row r="65" spans="1:6" x14ac:dyDescent="0.2">
      <c r="A65" s="10">
        <v>47665</v>
      </c>
      <c r="B65" s="9">
        <v>4609.4818368114429</v>
      </c>
      <c r="C65" s="9">
        <v>42617.677974999999</v>
      </c>
      <c r="D65" s="9">
        <v>2915753.0175291663</v>
      </c>
      <c r="E65" s="9">
        <v>47227.159811811442</v>
      </c>
      <c r="F65" s="9">
        <v>1018214.79</v>
      </c>
    </row>
    <row r="66" spans="1:6" x14ac:dyDescent="0.2">
      <c r="A66" s="10">
        <v>47696</v>
      </c>
      <c r="B66" s="9">
        <v>4801.5435784781075</v>
      </c>
      <c r="C66" s="9">
        <v>42425.616233333334</v>
      </c>
      <c r="D66" s="9">
        <v>2958178.6337624998</v>
      </c>
      <c r="E66" s="9">
        <v>47227.159811811442</v>
      </c>
      <c r="F66" s="9">
        <v>1013413.25</v>
      </c>
    </row>
    <row r="67" spans="1:6" x14ac:dyDescent="0.2">
      <c r="A67" s="10">
        <v>47727</v>
      </c>
      <c r="B67" s="9">
        <v>5001.607895144778</v>
      </c>
      <c r="C67" s="9">
        <v>42225.551916666664</v>
      </c>
      <c r="D67" s="9">
        <v>3000404.1856791666</v>
      </c>
      <c r="E67" s="9">
        <v>47227.159811811442</v>
      </c>
      <c r="F67" s="9">
        <v>1008411.64</v>
      </c>
    </row>
    <row r="68" spans="1:6" x14ac:dyDescent="0.2">
      <c r="A68" s="10">
        <v>47757</v>
      </c>
      <c r="B68" s="9">
        <v>5210.0082243114448</v>
      </c>
      <c r="C68" s="9">
        <v>42017.151587499997</v>
      </c>
      <c r="D68" s="9">
        <v>3042421.3372666663</v>
      </c>
      <c r="E68" s="9">
        <v>47227.159811811442</v>
      </c>
      <c r="F68" s="9">
        <v>1003201.63</v>
      </c>
    </row>
    <row r="69" spans="1:6" x14ac:dyDescent="0.2">
      <c r="A69" s="10">
        <v>47788</v>
      </c>
      <c r="B69" s="9">
        <v>5427.0918993114392</v>
      </c>
      <c r="C69" s="9">
        <v>41800.067912500002</v>
      </c>
      <c r="D69" s="9">
        <v>3084221.4051791662</v>
      </c>
      <c r="E69" s="9">
        <v>47227.159811811442</v>
      </c>
      <c r="F69" s="9">
        <v>997774.54</v>
      </c>
    </row>
    <row r="70" spans="1:6" x14ac:dyDescent="0.2">
      <c r="A70" s="10">
        <v>47818</v>
      </c>
      <c r="B70" s="9">
        <v>5653.2207284781107</v>
      </c>
      <c r="C70" s="9">
        <v>41573.939083333331</v>
      </c>
      <c r="D70" s="9">
        <v>3125795.3442624994</v>
      </c>
      <c r="E70" s="9">
        <v>47227.159811811442</v>
      </c>
      <c r="F70" s="9">
        <v>992121.32</v>
      </c>
    </row>
    <row r="71" spans="1:6" x14ac:dyDescent="0.2">
      <c r="A71" s="10">
        <v>47849</v>
      </c>
      <c r="B71" s="9">
        <v>5888.7715909781109</v>
      </c>
      <c r="C71" s="9">
        <v>41338.388220833331</v>
      </c>
      <c r="D71" s="9">
        <v>3167133.7324833325</v>
      </c>
      <c r="E71" s="9">
        <v>47227.159811811442</v>
      </c>
      <c r="F71" s="9">
        <v>986232.55</v>
      </c>
    </row>
    <row r="72" spans="1:6" x14ac:dyDescent="0.2">
      <c r="A72" s="10">
        <v>47880</v>
      </c>
      <c r="B72" s="9">
        <v>6134.1370743114458</v>
      </c>
      <c r="C72" s="9">
        <v>41093.022737499996</v>
      </c>
      <c r="D72" s="9">
        <v>3208226.7552208323</v>
      </c>
      <c r="E72" s="9">
        <v>47227.159811811442</v>
      </c>
      <c r="F72" s="9">
        <v>980098.41</v>
      </c>
    </row>
    <row r="73" spans="1:6" x14ac:dyDescent="0.2">
      <c r="A73" s="10">
        <v>47908</v>
      </c>
      <c r="B73" s="9">
        <v>6389.7261201447764</v>
      </c>
      <c r="C73" s="9">
        <v>40837.433691666665</v>
      </c>
      <c r="D73" s="9">
        <v>3249064.1889124988</v>
      </c>
      <c r="E73" s="9">
        <v>47227.159811811442</v>
      </c>
      <c r="F73" s="9">
        <v>973708.68</v>
      </c>
    </row>
    <row r="74" spans="1:6" x14ac:dyDescent="0.2">
      <c r="A74" s="10">
        <v>47939</v>
      </c>
      <c r="B74" s="9">
        <v>6655.96470764478</v>
      </c>
      <c r="C74" s="9">
        <v>40571.195104166662</v>
      </c>
      <c r="D74" s="9">
        <v>3289635.3840166656</v>
      </c>
      <c r="E74" s="9">
        <v>47227.159811811442</v>
      </c>
      <c r="F74" s="9">
        <v>967052.72</v>
      </c>
    </row>
    <row r="75" spans="1:6" x14ac:dyDescent="0.2">
      <c r="A75" s="10">
        <v>47969</v>
      </c>
      <c r="B75" s="9">
        <v>6933.2965701447756</v>
      </c>
      <c r="C75" s="9">
        <v>40293.863241666666</v>
      </c>
      <c r="D75" s="9">
        <v>3329929.2472583321</v>
      </c>
      <c r="E75" s="9">
        <v>47227.159811811442</v>
      </c>
      <c r="F75" s="9">
        <v>960119.42</v>
      </c>
    </row>
    <row r="76" spans="1:6" x14ac:dyDescent="0.2">
      <c r="A76" s="10">
        <v>48000</v>
      </c>
      <c r="B76" s="9">
        <v>7222.183928478109</v>
      </c>
      <c r="C76" s="9">
        <v>40004.975883333333</v>
      </c>
      <c r="D76" s="9">
        <v>3369934.2231416656</v>
      </c>
      <c r="E76" s="9">
        <v>47227.159811811442</v>
      </c>
      <c r="F76" s="9">
        <v>952897.24</v>
      </c>
    </row>
    <row r="77" spans="1:6" x14ac:dyDescent="0.2">
      <c r="A77" s="10">
        <v>48030</v>
      </c>
      <c r="B77" s="9">
        <v>7523.1082576447734</v>
      </c>
      <c r="C77" s="9">
        <v>39704.051554166668</v>
      </c>
      <c r="D77" s="9">
        <v>3409638.2746958323</v>
      </c>
      <c r="E77" s="9">
        <v>47227.159811811442</v>
      </c>
      <c r="F77" s="9">
        <v>945374.13</v>
      </c>
    </row>
    <row r="78" spans="1:6" x14ac:dyDescent="0.2">
      <c r="A78" s="10">
        <v>48061</v>
      </c>
      <c r="B78" s="9">
        <v>7836.5711034781125</v>
      </c>
      <c r="C78" s="9">
        <v>39390.588708333329</v>
      </c>
      <c r="D78" s="9">
        <v>3449028.8634041655</v>
      </c>
      <c r="E78" s="9">
        <v>47227.159811811442</v>
      </c>
      <c r="F78" s="9">
        <v>937537.56</v>
      </c>
    </row>
    <row r="79" spans="1:6" x14ac:dyDescent="0.2">
      <c r="A79" s="10">
        <v>48092</v>
      </c>
      <c r="B79" s="9">
        <v>8163.0948993114434</v>
      </c>
      <c r="C79" s="9">
        <v>39064.064912499998</v>
      </c>
      <c r="D79" s="9">
        <v>3488092.9283166653</v>
      </c>
      <c r="E79" s="9">
        <v>47227.159811811442</v>
      </c>
      <c r="F79" s="9">
        <v>929374.46</v>
      </c>
    </row>
    <row r="80" spans="1:6" x14ac:dyDescent="0.2">
      <c r="A80" s="10">
        <v>48122</v>
      </c>
      <c r="B80" s="9">
        <v>8503.2238534781136</v>
      </c>
      <c r="C80" s="9">
        <v>38723.935958333328</v>
      </c>
      <c r="D80" s="9">
        <v>3526816.8642749987</v>
      </c>
      <c r="E80" s="9">
        <v>47227.159811811442</v>
      </c>
      <c r="F80" s="9">
        <v>920871.24</v>
      </c>
    </row>
    <row r="81" spans="1:6" x14ac:dyDescent="0.2">
      <c r="A81" s="10">
        <v>48153</v>
      </c>
      <c r="B81" s="9">
        <v>8857.5248493114414</v>
      </c>
      <c r="C81" s="9">
        <v>38369.6349625</v>
      </c>
      <c r="D81" s="9">
        <v>3565186.4992374987</v>
      </c>
      <c r="E81" s="9">
        <v>47227.159811811442</v>
      </c>
      <c r="F81" s="9">
        <v>912013.71</v>
      </c>
    </row>
    <row r="82" spans="1:6" x14ac:dyDescent="0.2">
      <c r="A82" s="10">
        <v>48183</v>
      </c>
      <c r="B82" s="9">
        <v>9226.5883826447753</v>
      </c>
      <c r="C82" s="9">
        <v>38000.571429166666</v>
      </c>
      <c r="D82" s="9">
        <v>3603187.0706666652</v>
      </c>
      <c r="E82" s="9">
        <v>47227.159811811442</v>
      </c>
      <c r="F82" s="9">
        <v>902787.13</v>
      </c>
    </row>
    <row r="83" spans="1:6" x14ac:dyDescent="0.2">
      <c r="A83" s="10">
        <v>48214</v>
      </c>
      <c r="B83" s="9">
        <v>9611.0295659781113</v>
      </c>
      <c r="C83" s="9">
        <v>37616.13024583333</v>
      </c>
      <c r="D83" s="9">
        <v>3640803.2009124984</v>
      </c>
      <c r="E83" s="9">
        <v>47227.159811811442</v>
      </c>
      <c r="F83" s="9">
        <v>893176.1</v>
      </c>
    </row>
    <row r="84" spans="1:6" x14ac:dyDescent="0.2">
      <c r="A84" s="10">
        <v>48245</v>
      </c>
      <c r="B84" s="9">
        <v>10011.489132644776</v>
      </c>
      <c r="C84" s="9">
        <v>37215.670679166666</v>
      </c>
      <c r="D84" s="9">
        <v>3678018.8715916649</v>
      </c>
      <c r="E84" s="9">
        <v>47227.159811811442</v>
      </c>
      <c r="F84" s="9">
        <v>883164.61</v>
      </c>
    </row>
    <row r="85" spans="1:6" x14ac:dyDescent="0.2">
      <c r="A85" s="10">
        <v>48274</v>
      </c>
      <c r="B85" s="9">
        <v>10428.634511811448</v>
      </c>
      <c r="C85" s="9">
        <v>36798.525299999994</v>
      </c>
      <c r="D85" s="9">
        <v>3714817.3968916647</v>
      </c>
      <c r="E85" s="9">
        <v>47227.159811811442</v>
      </c>
      <c r="F85" s="9">
        <v>872735.97</v>
      </c>
    </row>
    <row r="86" spans="1:6" x14ac:dyDescent="0.2">
      <c r="A86" s="10">
        <v>48305</v>
      </c>
      <c r="B86" s="9">
        <v>10863.160949311445</v>
      </c>
      <c r="C86" s="9">
        <v>36363.998862499997</v>
      </c>
      <c r="D86" s="9">
        <v>3751181.3957541646</v>
      </c>
      <c r="E86" s="9">
        <v>47227.159811811442</v>
      </c>
      <c r="F86" s="9">
        <v>861872.81</v>
      </c>
    </row>
    <row r="87" spans="1:6" x14ac:dyDescent="0.2">
      <c r="A87" s="10">
        <v>48335</v>
      </c>
      <c r="B87" s="9">
        <v>11315.792653478107</v>
      </c>
      <c r="C87" s="9">
        <v>35911.367158333334</v>
      </c>
      <c r="D87" s="9">
        <v>3787092.7629124979</v>
      </c>
      <c r="E87" s="9">
        <v>47227.159811811442</v>
      </c>
      <c r="F87" s="9">
        <v>850557.02</v>
      </c>
    </row>
    <row r="88" spans="1:6" x14ac:dyDescent="0.2">
      <c r="A88" s="10">
        <v>48366</v>
      </c>
      <c r="B88" s="9">
        <v>11787.284015978112</v>
      </c>
      <c r="C88" s="9">
        <v>35439.87579583333</v>
      </c>
      <c r="D88" s="9">
        <v>3822532.6387083312</v>
      </c>
      <c r="E88" s="9">
        <v>47227.159811811442</v>
      </c>
      <c r="F88" s="9">
        <v>838769.74</v>
      </c>
    </row>
    <row r="89" spans="1:6" x14ac:dyDescent="0.2">
      <c r="A89" s="10">
        <v>48396</v>
      </c>
      <c r="B89" s="9">
        <v>12278.420849311442</v>
      </c>
      <c r="C89" s="9">
        <v>34948.7389625</v>
      </c>
      <c r="D89" s="9">
        <v>3857481.377670831</v>
      </c>
      <c r="E89" s="9">
        <v>47227.159811811442</v>
      </c>
      <c r="F89" s="9">
        <v>826491.31</v>
      </c>
    </row>
    <row r="90" spans="1:6" x14ac:dyDescent="0.2">
      <c r="A90" s="10">
        <v>48427</v>
      </c>
      <c r="B90" s="9">
        <v>12790.02171597811</v>
      </c>
      <c r="C90" s="9">
        <v>34437.138095833332</v>
      </c>
      <c r="D90" s="9">
        <v>3891918.5157666644</v>
      </c>
      <c r="E90" s="9">
        <v>47227.159811811442</v>
      </c>
      <c r="F90" s="9">
        <v>813701.29</v>
      </c>
    </row>
    <row r="91" spans="1:6" x14ac:dyDescent="0.2">
      <c r="A91" s="10">
        <v>48458</v>
      </c>
      <c r="B91" s="9">
        <v>13322.939286811445</v>
      </c>
      <c r="C91" s="9">
        <v>33904.220524999997</v>
      </c>
      <c r="D91" s="9">
        <v>3925822.7362916642</v>
      </c>
      <c r="E91" s="9">
        <v>47227.159811811442</v>
      </c>
      <c r="F91" s="9">
        <v>800378.35</v>
      </c>
    </row>
    <row r="92" spans="1:6" x14ac:dyDescent="0.2">
      <c r="A92" s="10">
        <v>48488</v>
      </c>
      <c r="B92" s="9">
        <v>13878.061757644777</v>
      </c>
      <c r="C92" s="9">
        <v>33349.098054166665</v>
      </c>
      <c r="D92" s="9">
        <v>3959171.8343458311</v>
      </c>
      <c r="E92" s="9">
        <v>47227.159811811442</v>
      </c>
      <c r="F92" s="9">
        <v>786500.29</v>
      </c>
    </row>
    <row r="93" spans="1:6" x14ac:dyDescent="0.2">
      <c r="A93" s="10">
        <v>48519</v>
      </c>
      <c r="B93" s="9">
        <v>14456.314332644775</v>
      </c>
      <c r="C93" s="9">
        <v>32770.845479166666</v>
      </c>
      <c r="D93" s="9">
        <v>3991942.6798249977</v>
      </c>
      <c r="E93" s="9">
        <v>47227.159811811442</v>
      </c>
      <c r="F93" s="9">
        <v>772043.98</v>
      </c>
    </row>
    <row r="94" spans="1:6" x14ac:dyDescent="0.2">
      <c r="A94" s="10">
        <v>48549</v>
      </c>
      <c r="B94" s="9">
        <v>15058.660761811443</v>
      </c>
      <c r="C94" s="9">
        <v>32168.499049999999</v>
      </c>
      <c r="D94" s="9">
        <v>4024111.1788749979</v>
      </c>
      <c r="E94" s="9">
        <v>47227.159811811442</v>
      </c>
      <c r="F94" s="9">
        <v>756985.32</v>
      </c>
    </row>
    <row r="95" spans="1:6" x14ac:dyDescent="0.2">
      <c r="A95" s="10">
        <v>48580</v>
      </c>
      <c r="B95" s="9">
        <v>15686.104961811441</v>
      </c>
      <c r="C95" s="9">
        <v>31541.05485</v>
      </c>
      <c r="D95" s="9">
        <v>4055652.2337249978</v>
      </c>
      <c r="E95" s="9">
        <v>47227.159811811442</v>
      </c>
      <c r="F95" s="9">
        <v>741299.21</v>
      </c>
    </row>
    <row r="96" spans="1:6" x14ac:dyDescent="0.2">
      <c r="A96" s="10">
        <v>48611</v>
      </c>
      <c r="B96" s="9">
        <v>16339.692670144774</v>
      </c>
      <c r="C96" s="9">
        <v>30887.467141666668</v>
      </c>
      <c r="D96" s="9">
        <v>4086539.7008666643</v>
      </c>
      <c r="E96" s="9">
        <v>47227.159811811442</v>
      </c>
      <c r="F96" s="9">
        <v>724959.52</v>
      </c>
    </row>
    <row r="97" spans="1:9" x14ac:dyDescent="0.2">
      <c r="A97" s="10">
        <v>48639</v>
      </c>
      <c r="B97" s="9">
        <v>17020.513199311441</v>
      </c>
      <c r="C97" s="9">
        <v>30206.646612500001</v>
      </c>
      <c r="D97" s="9">
        <v>4116746.3474791641</v>
      </c>
      <c r="E97" s="9">
        <v>47227.159811811442</v>
      </c>
      <c r="F97" s="9">
        <v>707939.01</v>
      </c>
    </row>
    <row r="98" spans="1:9" x14ac:dyDescent="0.2">
      <c r="A98" s="10">
        <v>48670</v>
      </c>
      <c r="B98" s="9">
        <v>17729.701249311445</v>
      </c>
      <c r="C98" s="9">
        <v>29497.458562499996</v>
      </c>
      <c r="D98" s="9">
        <v>4146243.806041664</v>
      </c>
      <c r="E98" s="9">
        <v>47227.159811811442</v>
      </c>
      <c r="F98" s="9">
        <v>690209.3</v>
      </c>
    </row>
    <row r="99" spans="1:9" x14ac:dyDescent="0.2">
      <c r="A99" s="10">
        <v>48700</v>
      </c>
      <c r="B99" s="9">
        <v>18468.438799311443</v>
      </c>
      <c r="C99" s="9">
        <v>28758.721012499998</v>
      </c>
      <c r="D99" s="9">
        <v>4175002.5270541641</v>
      </c>
      <c r="E99" s="9">
        <v>47227.159811811442</v>
      </c>
      <c r="F99" s="9">
        <v>671740.87</v>
      </c>
    </row>
    <row r="100" spans="1:9" x14ac:dyDescent="0.2">
      <c r="A100" s="10">
        <v>48731</v>
      </c>
      <c r="B100" s="9">
        <v>19237.957082644778</v>
      </c>
      <c r="C100" s="9">
        <v>27989.202729166664</v>
      </c>
      <c r="D100" s="9">
        <v>4202991.729783331</v>
      </c>
      <c r="E100" s="9">
        <v>47227.159811811442</v>
      </c>
      <c r="F100" s="9">
        <v>652502.91</v>
      </c>
    </row>
    <row r="101" spans="1:9" x14ac:dyDescent="0.2">
      <c r="A101" s="10">
        <v>48761</v>
      </c>
      <c r="B101" s="9">
        <v>20039.538628478113</v>
      </c>
      <c r="C101" s="9">
        <v>27187.621183333329</v>
      </c>
      <c r="D101" s="9">
        <v>4230179.350966664</v>
      </c>
      <c r="E101" s="9">
        <v>47227.159811811442</v>
      </c>
      <c r="F101" s="9">
        <v>632463.37</v>
      </c>
    </row>
    <row r="102" spans="1:9" x14ac:dyDescent="0.2">
      <c r="A102" s="10">
        <v>48792</v>
      </c>
      <c r="B102" s="9">
        <v>20874.519403478109</v>
      </c>
      <c r="C102" s="9">
        <v>26352.640408333333</v>
      </c>
      <c r="D102" s="9">
        <v>4256531.9913749974</v>
      </c>
      <c r="E102" s="9">
        <v>47227.159811811442</v>
      </c>
      <c r="F102" s="9">
        <v>611588.85</v>
      </c>
      <c r="G102" s="2"/>
      <c r="H102" s="2"/>
      <c r="I102" s="2"/>
    </row>
    <row r="103" spans="1:9" x14ac:dyDescent="0.2">
      <c r="A103" s="10">
        <v>48823</v>
      </c>
      <c r="B103" s="9">
        <v>21744.291045144775</v>
      </c>
      <c r="C103" s="9">
        <v>25482.868766666666</v>
      </c>
      <c r="D103" s="9">
        <v>4282014.8601416638</v>
      </c>
      <c r="E103" s="9">
        <v>47227.159811811442</v>
      </c>
      <c r="F103" s="9">
        <v>589844.56000000006</v>
      </c>
    </row>
    <row r="104" spans="1:9" x14ac:dyDescent="0.2">
      <c r="A104" s="10">
        <v>48853</v>
      </c>
      <c r="B104" s="9">
        <v>22650.303170144776</v>
      </c>
      <c r="C104" s="9">
        <v>24576.856641666665</v>
      </c>
      <c r="D104" s="9">
        <v>4306591.7167833308</v>
      </c>
      <c r="E104" s="9">
        <v>47227.159811811442</v>
      </c>
      <c r="F104" s="9">
        <v>567194.26</v>
      </c>
    </row>
    <row r="105" spans="1:9" x14ac:dyDescent="0.2">
      <c r="A105" s="10">
        <v>48884</v>
      </c>
      <c r="B105" s="9">
        <v>23594.065803478112</v>
      </c>
      <c r="C105" s="9">
        <v>23633.09400833333</v>
      </c>
      <c r="D105" s="9">
        <v>4330224.8107916638</v>
      </c>
      <c r="E105" s="9">
        <v>47227.159811811442</v>
      </c>
      <c r="F105" s="9">
        <v>543600.18999999994</v>
      </c>
    </row>
    <row r="106" spans="1:9" x14ac:dyDescent="0.2">
      <c r="A106" s="10">
        <v>48914</v>
      </c>
      <c r="B106" s="9">
        <v>24577.151878478111</v>
      </c>
      <c r="C106" s="9">
        <v>22650.007933333331</v>
      </c>
      <c r="D106" s="9">
        <v>4352874.8187249973</v>
      </c>
      <c r="E106" s="9">
        <v>47227.159811811442</v>
      </c>
      <c r="F106" s="9">
        <v>519023.04</v>
      </c>
    </row>
    <row r="107" spans="1:9" x14ac:dyDescent="0.2">
      <c r="A107" s="10">
        <v>48945</v>
      </c>
      <c r="B107" s="9">
        <v>25601.199874311442</v>
      </c>
      <c r="C107" s="9">
        <v>21625.9599375</v>
      </c>
      <c r="D107" s="9">
        <v>4374500.7786624972</v>
      </c>
      <c r="E107" s="9">
        <v>47227.159811811442</v>
      </c>
      <c r="F107" s="9">
        <v>493421.84</v>
      </c>
    </row>
    <row r="108" spans="1:9" x14ac:dyDescent="0.2">
      <c r="A108" s="10">
        <v>48976</v>
      </c>
      <c r="B108" s="9">
        <v>26667.916536811441</v>
      </c>
      <c r="C108" s="9">
        <v>20559.243275000001</v>
      </c>
      <c r="D108" s="9">
        <v>4395060.021937497</v>
      </c>
      <c r="E108" s="9">
        <v>47227.159811811442</v>
      </c>
      <c r="F108" s="9">
        <v>466753.92</v>
      </c>
    </row>
    <row r="109" spans="1:9" x14ac:dyDescent="0.2">
      <c r="A109" s="10">
        <v>49004</v>
      </c>
      <c r="B109" s="9">
        <v>27779.079724311443</v>
      </c>
      <c r="C109" s="9">
        <v>19448.080087499999</v>
      </c>
      <c r="D109" s="9">
        <v>4414508.1020249967</v>
      </c>
      <c r="E109" s="9">
        <v>47227.159811811442</v>
      </c>
      <c r="F109" s="9">
        <v>438974.84</v>
      </c>
    </row>
    <row r="110" spans="1:9" x14ac:dyDescent="0.2">
      <c r="A110" s="10">
        <v>49035</v>
      </c>
      <c r="B110" s="9">
        <v>28936.541378478109</v>
      </c>
      <c r="C110" s="9">
        <v>18290.618433333333</v>
      </c>
      <c r="D110" s="9">
        <v>4432798.7204583297</v>
      </c>
      <c r="E110" s="9">
        <v>47227.159811811442</v>
      </c>
      <c r="F110" s="9">
        <v>410038.3</v>
      </c>
    </row>
    <row r="111" spans="1:9" x14ac:dyDescent="0.2">
      <c r="A111" s="10">
        <v>49065</v>
      </c>
      <c r="B111" s="9">
        <v>30142.23060347811</v>
      </c>
      <c r="C111" s="9">
        <v>17084.929208333331</v>
      </c>
      <c r="D111" s="9">
        <v>4449883.6496666633</v>
      </c>
      <c r="E111" s="9">
        <v>47227.159811811442</v>
      </c>
      <c r="F111" s="9">
        <v>379896.07</v>
      </c>
    </row>
    <row r="112" spans="1:9" x14ac:dyDescent="0.2">
      <c r="A112" s="10">
        <v>49096</v>
      </c>
      <c r="B112" s="9">
        <v>31398.156878478108</v>
      </c>
      <c r="C112" s="9">
        <v>15829.002933333333</v>
      </c>
      <c r="D112" s="9">
        <v>4465712.6525999969</v>
      </c>
      <c r="E112" s="9">
        <v>47227.159811811442</v>
      </c>
      <c r="F112" s="9">
        <v>348497.91</v>
      </c>
    </row>
    <row r="113" spans="1:6" x14ac:dyDescent="0.2">
      <c r="A113" s="10">
        <v>49126</v>
      </c>
      <c r="B113" s="9">
        <v>32706.41341597811</v>
      </c>
      <c r="C113" s="9">
        <v>14520.746395833334</v>
      </c>
      <c r="D113" s="9">
        <v>4480233.3989958307</v>
      </c>
      <c r="E113" s="9">
        <v>47227.159811811442</v>
      </c>
      <c r="F113" s="9">
        <v>315791.5</v>
      </c>
    </row>
    <row r="114" spans="1:6" x14ac:dyDescent="0.2">
      <c r="A114" s="10">
        <v>49157</v>
      </c>
      <c r="B114" s="9">
        <v>34069.180640978113</v>
      </c>
      <c r="C114" s="9">
        <v>13157.979170833332</v>
      </c>
      <c r="D114" s="9">
        <v>4493391.3781666644</v>
      </c>
      <c r="E114" s="9">
        <v>47227.159811811442</v>
      </c>
      <c r="F114" s="9">
        <v>281722.32</v>
      </c>
    </row>
    <row r="115" spans="1:6" x14ac:dyDescent="0.2">
      <c r="A115" s="10">
        <v>49188</v>
      </c>
      <c r="B115" s="9">
        <v>35488.729832644778</v>
      </c>
      <c r="C115" s="9">
        <v>11738.429979166665</v>
      </c>
      <c r="D115" s="9">
        <v>4505129.8081458313</v>
      </c>
      <c r="E115" s="9">
        <v>47227.159811811442</v>
      </c>
      <c r="F115" s="9">
        <v>246233.59</v>
      </c>
    </row>
    <row r="116" spans="1:6" x14ac:dyDescent="0.2">
      <c r="A116" s="10">
        <v>49218</v>
      </c>
      <c r="B116" s="9">
        <v>36967.426907644774</v>
      </c>
      <c r="C116" s="9">
        <v>10259.732904166667</v>
      </c>
      <c r="D116" s="9">
        <v>4515389.5410499983</v>
      </c>
      <c r="E116" s="9">
        <v>47227.159811811442</v>
      </c>
      <c r="F116" s="9">
        <v>209266.16</v>
      </c>
    </row>
    <row r="117" spans="1:6" x14ac:dyDescent="0.2">
      <c r="A117" s="10">
        <v>49249</v>
      </c>
      <c r="B117" s="9">
        <v>38507.736361811447</v>
      </c>
      <c r="C117" s="9">
        <v>8719.4234499999984</v>
      </c>
      <c r="D117" s="9">
        <v>4524108.9644999979</v>
      </c>
      <c r="E117" s="9">
        <v>47227.159811811442</v>
      </c>
      <c r="F117" s="9">
        <v>170758.43</v>
      </c>
    </row>
    <row r="118" spans="1:6" x14ac:dyDescent="0.2">
      <c r="A118" s="10">
        <v>49279</v>
      </c>
      <c r="B118" s="9">
        <v>40112.225378478106</v>
      </c>
      <c r="C118" s="9">
        <v>7114.9344333333329</v>
      </c>
      <c r="D118" s="9">
        <v>4531223.8989333315</v>
      </c>
      <c r="E118" s="9">
        <v>47227.159811811442</v>
      </c>
      <c r="F118" s="9">
        <v>130646.2</v>
      </c>
    </row>
    <row r="119" spans="1:6" x14ac:dyDescent="0.2">
      <c r="A119" s="10">
        <v>49310</v>
      </c>
      <c r="B119" s="9">
        <v>41783.568103478108</v>
      </c>
      <c r="C119" s="9">
        <v>5443.5917083333334</v>
      </c>
      <c r="D119" s="9">
        <v>4536667.4906416647</v>
      </c>
      <c r="E119" s="9">
        <v>47227.159811811442</v>
      </c>
      <c r="F119" s="9">
        <v>88862.63</v>
      </c>
    </row>
    <row r="120" spans="1:6" x14ac:dyDescent="0.2">
      <c r="A120" s="10">
        <v>49341</v>
      </c>
      <c r="B120" s="9">
        <v>43524.550107644776</v>
      </c>
      <c r="C120" s="9">
        <v>3702.6097041666662</v>
      </c>
      <c r="D120" s="9">
        <v>4540370.1003458314</v>
      </c>
      <c r="E120" s="9">
        <v>47227.159811811442</v>
      </c>
      <c r="F120" s="9">
        <v>45338.080000000002</v>
      </c>
    </row>
    <row r="121" spans="1:6" x14ac:dyDescent="0.2">
      <c r="A121" s="10">
        <v>49369</v>
      </c>
      <c r="B121" s="9">
        <v>45338.073028478109</v>
      </c>
      <c r="C121" s="9">
        <v>1889.0867833333332</v>
      </c>
      <c r="D121" s="9">
        <v>4542259.187129165</v>
      </c>
      <c r="E121" s="9">
        <v>47227.159811811442</v>
      </c>
      <c r="F121" s="9">
        <v>0.01</v>
      </c>
    </row>
    <row r="122" spans="1:6" x14ac:dyDescent="0.2">
      <c r="F122" s="9"/>
    </row>
    <row r="123" spans="1:6" x14ac:dyDescent="0.2">
      <c r="F123" s="9"/>
    </row>
    <row r="124" spans="1:6" x14ac:dyDescent="0.2">
      <c r="F124" s="9"/>
    </row>
    <row r="125" spans="1:6" x14ac:dyDescent="0.2">
      <c r="F125" s="9"/>
    </row>
    <row r="126" spans="1:6" x14ac:dyDescent="0.2">
      <c r="F126" s="9"/>
    </row>
    <row r="127" spans="1:6" x14ac:dyDescent="0.2">
      <c r="F127" s="9"/>
    </row>
    <row r="128" spans="1:6" x14ac:dyDescent="0.2">
      <c r="F128" s="9"/>
    </row>
    <row r="129" spans="6:6" x14ac:dyDescent="0.2">
      <c r="F129" s="9"/>
    </row>
    <row r="130" spans="6:6" x14ac:dyDescent="0.2">
      <c r="F130" s="9"/>
    </row>
    <row r="131" spans="6:6" x14ac:dyDescent="0.2">
      <c r="F131" s="9"/>
    </row>
    <row r="132" spans="6:6" x14ac:dyDescent="0.2">
      <c r="F132" s="9"/>
    </row>
    <row r="133" spans="6:6" x14ac:dyDescent="0.2">
      <c r="F133" s="9"/>
    </row>
    <row r="134" spans="6:6" x14ac:dyDescent="0.2">
      <c r="F134" s="9"/>
    </row>
    <row r="135" spans="6:6" x14ac:dyDescent="0.2">
      <c r="F135" s="9"/>
    </row>
    <row r="136" spans="6:6" x14ac:dyDescent="0.2">
      <c r="F136" s="9"/>
    </row>
    <row r="137" spans="6:6" x14ac:dyDescent="0.2">
      <c r="F137" s="9"/>
    </row>
    <row r="138" spans="6:6" x14ac:dyDescent="0.2">
      <c r="F138" s="9"/>
    </row>
    <row r="139" spans="6:6" x14ac:dyDescent="0.2">
      <c r="F139" s="9"/>
    </row>
    <row r="140" spans="6:6" x14ac:dyDescent="0.2">
      <c r="F140" s="9"/>
    </row>
    <row r="141" spans="6:6" x14ac:dyDescent="0.2">
      <c r="F141" s="9"/>
    </row>
    <row r="142" spans="6:6" x14ac:dyDescent="0.2">
      <c r="F142" s="9"/>
    </row>
    <row r="143" spans="6:6" x14ac:dyDescent="0.2">
      <c r="F143" s="9"/>
    </row>
    <row r="144" spans="6:6" x14ac:dyDescent="0.2">
      <c r="F144" s="9"/>
    </row>
    <row r="145" spans="6:6" x14ac:dyDescent="0.2">
      <c r="F145" s="9"/>
    </row>
    <row r="146" spans="6:6" x14ac:dyDescent="0.2">
      <c r="F146" s="9"/>
    </row>
    <row r="147" spans="6:6" x14ac:dyDescent="0.2">
      <c r="F147" s="9"/>
    </row>
    <row r="148" spans="6:6" x14ac:dyDescent="0.2">
      <c r="F148" s="9"/>
    </row>
    <row r="149" spans="6:6" x14ac:dyDescent="0.2">
      <c r="F149" s="9"/>
    </row>
    <row r="150" spans="6:6" x14ac:dyDescent="0.2">
      <c r="F150" s="9"/>
    </row>
    <row r="151" spans="6:6" x14ac:dyDescent="0.2">
      <c r="F151" s="9"/>
    </row>
    <row r="152" spans="6:6" x14ac:dyDescent="0.2">
      <c r="F152" s="9"/>
    </row>
    <row r="153" spans="6:6" x14ac:dyDescent="0.2">
      <c r="F153" s="9"/>
    </row>
    <row r="154" spans="6:6" x14ac:dyDescent="0.2">
      <c r="F154" s="9"/>
    </row>
    <row r="155" spans="6:6" x14ac:dyDescent="0.2">
      <c r="F155" s="9"/>
    </row>
    <row r="156" spans="6:6" x14ac:dyDescent="0.2">
      <c r="F156" s="9"/>
    </row>
    <row r="157" spans="6:6" x14ac:dyDescent="0.2">
      <c r="F157" s="9"/>
    </row>
    <row r="158" spans="6:6" x14ac:dyDescent="0.2">
      <c r="F158" s="9"/>
    </row>
    <row r="159" spans="6:6" x14ac:dyDescent="0.2">
      <c r="F159" s="9"/>
    </row>
    <row r="160" spans="6:6" x14ac:dyDescent="0.2">
      <c r="F160" s="9"/>
    </row>
    <row r="161" spans="6:6" x14ac:dyDescent="0.2">
      <c r="F161" s="9"/>
    </row>
    <row r="162" spans="6:6" x14ac:dyDescent="0.2">
      <c r="F162" s="9"/>
    </row>
    <row r="163" spans="6:6" x14ac:dyDescent="0.2">
      <c r="F163" s="9"/>
    </row>
    <row r="164" spans="6:6" x14ac:dyDescent="0.2">
      <c r="F164" s="9"/>
    </row>
    <row r="165" spans="6:6" x14ac:dyDescent="0.2">
      <c r="F165" s="9"/>
    </row>
    <row r="166" spans="6:6" x14ac:dyDescent="0.2">
      <c r="F166" s="9"/>
    </row>
    <row r="167" spans="6:6" x14ac:dyDescent="0.2">
      <c r="F167" s="9"/>
    </row>
    <row r="168" spans="6:6" x14ac:dyDescent="0.2">
      <c r="F168" s="9"/>
    </row>
    <row r="169" spans="6:6" x14ac:dyDescent="0.2">
      <c r="F169" s="9"/>
    </row>
    <row r="170" spans="6:6" x14ac:dyDescent="0.2">
      <c r="F170" s="9"/>
    </row>
    <row r="171" spans="6:6" x14ac:dyDescent="0.2">
      <c r="F171" s="9"/>
    </row>
    <row r="172" spans="6:6" x14ac:dyDescent="0.2">
      <c r="F172" s="9"/>
    </row>
    <row r="173" spans="6:6" x14ac:dyDescent="0.2">
      <c r="F173" s="9"/>
    </row>
    <row r="174" spans="6:6" x14ac:dyDescent="0.2">
      <c r="F174" s="9"/>
    </row>
    <row r="175" spans="6:6" x14ac:dyDescent="0.2">
      <c r="F175" s="9"/>
    </row>
    <row r="176" spans="6:6" x14ac:dyDescent="0.2">
      <c r="F176" s="9"/>
    </row>
    <row r="177" spans="6:6" x14ac:dyDescent="0.2">
      <c r="F177" s="9"/>
    </row>
    <row r="178" spans="6:6" x14ac:dyDescent="0.2">
      <c r="F178" s="9"/>
    </row>
    <row r="179" spans="6:6" x14ac:dyDescent="0.2">
      <c r="F179" s="9"/>
    </row>
    <row r="180" spans="6:6" x14ac:dyDescent="0.2">
      <c r="F180" s="9"/>
    </row>
    <row r="181" spans="6:6" x14ac:dyDescent="0.2">
      <c r="F181" s="9"/>
    </row>
    <row r="182" spans="6:6" x14ac:dyDescent="0.2">
      <c r="F182" s="9"/>
    </row>
    <row r="183" spans="6:6" x14ac:dyDescent="0.2">
      <c r="F183" s="9"/>
    </row>
    <row r="184" spans="6:6" x14ac:dyDescent="0.2">
      <c r="F184" s="9"/>
    </row>
    <row r="185" spans="6:6" x14ac:dyDescent="0.2">
      <c r="F185" s="9"/>
    </row>
    <row r="186" spans="6:6" x14ac:dyDescent="0.2">
      <c r="F186" s="9"/>
    </row>
    <row r="187" spans="6:6" x14ac:dyDescent="0.2">
      <c r="F187" s="9"/>
    </row>
    <row r="188" spans="6:6" x14ac:dyDescent="0.2">
      <c r="F188" s="9"/>
    </row>
    <row r="189" spans="6:6" x14ac:dyDescent="0.2">
      <c r="F189" s="9"/>
    </row>
    <row r="190" spans="6:6" x14ac:dyDescent="0.2">
      <c r="F190" s="9"/>
    </row>
    <row r="191" spans="6:6" x14ac:dyDescent="0.2">
      <c r="F191" s="9"/>
    </row>
    <row r="192" spans="6:6" x14ac:dyDescent="0.2">
      <c r="F192" s="9"/>
    </row>
    <row r="193" spans="6:6" x14ac:dyDescent="0.2">
      <c r="F193" s="9"/>
    </row>
    <row r="194" spans="6:6" x14ac:dyDescent="0.2">
      <c r="F194" s="9"/>
    </row>
    <row r="195" spans="6:6" x14ac:dyDescent="0.2">
      <c r="F195" s="9"/>
    </row>
    <row r="196" spans="6:6" x14ac:dyDescent="0.2">
      <c r="F196" s="9"/>
    </row>
    <row r="197" spans="6:6" x14ac:dyDescent="0.2">
      <c r="F197" s="9"/>
    </row>
    <row r="198" spans="6:6" x14ac:dyDescent="0.2">
      <c r="F198" s="9"/>
    </row>
    <row r="199" spans="6:6" x14ac:dyDescent="0.2">
      <c r="F199" s="9"/>
    </row>
    <row r="200" spans="6:6" x14ac:dyDescent="0.2">
      <c r="F200" s="9"/>
    </row>
    <row r="201" spans="6:6" x14ac:dyDescent="0.2">
      <c r="F201" s="9"/>
    </row>
    <row r="202" spans="6:6" x14ac:dyDescent="0.2">
      <c r="F202" s="9"/>
    </row>
    <row r="203" spans="6:6" x14ac:dyDescent="0.2">
      <c r="F203" s="9"/>
    </row>
    <row r="204" spans="6:6" x14ac:dyDescent="0.2">
      <c r="F204" s="9"/>
    </row>
    <row r="205" spans="6:6" x14ac:dyDescent="0.2">
      <c r="F205" s="9"/>
    </row>
    <row r="206" spans="6:6" x14ac:dyDescent="0.2">
      <c r="F206" s="9"/>
    </row>
    <row r="207" spans="6:6" x14ac:dyDescent="0.2">
      <c r="F207" s="9"/>
    </row>
    <row r="208" spans="6:6" x14ac:dyDescent="0.2">
      <c r="F208" s="9"/>
    </row>
    <row r="209" spans="6:6" x14ac:dyDescent="0.2">
      <c r="F209" s="9"/>
    </row>
    <row r="210" spans="6:6" x14ac:dyDescent="0.2">
      <c r="F210" s="9"/>
    </row>
    <row r="211" spans="6:6" x14ac:dyDescent="0.2">
      <c r="F211" s="9"/>
    </row>
    <row r="212" spans="6:6" x14ac:dyDescent="0.2">
      <c r="F212" s="9"/>
    </row>
    <row r="213" spans="6:6" x14ac:dyDescent="0.2">
      <c r="F213" s="9"/>
    </row>
    <row r="214" spans="6:6" x14ac:dyDescent="0.2">
      <c r="F214" s="9"/>
    </row>
    <row r="215" spans="6:6" x14ac:dyDescent="0.2">
      <c r="F215" s="9"/>
    </row>
    <row r="216" spans="6:6" x14ac:dyDescent="0.2">
      <c r="F216" s="9"/>
    </row>
    <row r="217" spans="6:6" x14ac:dyDescent="0.2">
      <c r="F217" s="9"/>
    </row>
    <row r="218" spans="6:6" x14ac:dyDescent="0.2">
      <c r="F218" s="9"/>
    </row>
    <row r="219" spans="6:6" x14ac:dyDescent="0.2">
      <c r="F219" s="9"/>
    </row>
    <row r="220" spans="6:6" x14ac:dyDescent="0.2">
      <c r="F220" s="9"/>
    </row>
    <row r="221" spans="6:6" x14ac:dyDescent="0.2">
      <c r="F221" s="9"/>
    </row>
    <row r="222" spans="6:6" x14ac:dyDescent="0.2">
      <c r="F222" s="9"/>
    </row>
    <row r="223" spans="6:6" x14ac:dyDescent="0.2">
      <c r="F223" s="9"/>
    </row>
    <row r="224" spans="6:6" x14ac:dyDescent="0.2">
      <c r="F224" s="9"/>
    </row>
    <row r="225" spans="6:6" x14ac:dyDescent="0.2">
      <c r="F225" s="9"/>
    </row>
    <row r="226" spans="6:6" x14ac:dyDescent="0.2">
      <c r="F226" s="9"/>
    </row>
    <row r="227" spans="6:6" x14ac:dyDescent="0.2">
      <c r="F227" s="9"/>
    </row>
    <row r="228" spans="6:6" x14ac:dyDescent="0.2">
      <c r="F228" s="9"/>
    </row>
    <row r="229" spans="6:6" x14ac:dyDescent="0.2">
      <c r="F229" s="9"/>
    </row>
    <row r="230" spans="6:6" x14ac:dyDescent="0.2">
      <c r="F230" s="9"/>
    </row>
    <row r="231" spans="6:6" x14ac:dyDescent="0.2">
      <c r="F231" s="9"/>
    </row>
    <row r="232" spans="6:6" x14ac:dyDescent="0.2">
      <c r="F232" s="9"/>
    </row>
    <row r="233" spans="6:6" x14ac:dyDescent="0.2">
      <c r="F233" s="9"/>
    </row>
    <row r="234" spans="6:6" x14ac:dyDescent="0.2">
      <c r="F234" s="9"/>
    </row>
    <row r="235" spans="6:6" x14ac:dyDescent="0.2">
      <c r="F235" s="9"/>
    </row>
    <row r="236" spans="6:6" x14ac:dyDescent="0.2">
      <c r="F236" s="9"/>
    </row>
    <row r="237" spans="6:6" x14ac:dyDescent="0.2">
      <c r="F237" s="9"/>
    </row>
    <row r="238" spans="6:6" x14ac:dyDescent="0.2">
      <c r="F238" s="9"/>
    </row>
    <row r="239" spans="6:6" x14ac:dyDescent="0.2">
      <c r="F239" s="9"/>
    </row>
    <row r="240" spans="6:6" x14ac:dyDescent="0.2">
      <c r="F240" s="9"/>
    </row>
    <row r="241" spans="6:6" x14ac:dyDescent="0.2">
      <c r="F241" s="9"/>
    </row>
    <row r="242" spans="6:6" x14ac:dyDescent="0.2">
      <c r="F242" s="9"/>
    </row>
    <row r="243" spans="6:6" x14ac:dyDescent="0.2">
      <c r="F243" s="9"/>
    </row>
    <row r="244" spans="6:6" x14ac:dyDescent="0.2">
      <c r="F244" s="9"/>
    </row>
    <row r="245" spans="6:6" x14ac:dyDescent="0.2">
      <c r="F245" s="9"/>
    </row>
    <row r="246" spans="6:6" x14ac:dyDescent="0.2">
      <c r="F246" s="9"/>
    </row>
    <row r="247" spans="6:6" x14ac:dyDescent="0.2">
      <c r="F247" s="9"/>
    </row>
    <row r="248" spans="6:6" x14ac:dyDescent="0.2">
      <c r="F248" s="9"/>
    </row>
    <row r="249" spans="6:6" x14ac:dyDescent="0.2">
      <c r="F249" s="9"/>
    </row>
    <row r="250" spans="6:6" x14ac:dyDescent="0.2">
      <c r="F250" s="9"/>
    </row>
    <row r="251" spans="6:6" x14ac:dyDescent="0.2">
      <c r="F251" s="9"/>
    </row>
    <row r="252" spans="6:6" x14ac:dyDescent="0.2">
      <c r="F252" s="9"/>
    </row>
    <row r="253" spans="6:6" x14ac:dyDescent="0.2">
      <c r="F253" s="9"/>
    </row>
    <row r="254" spans="6:6" x14ac:dyDescent="0.2">
      <c r="F254" s="9"/>
    </row>
    <row r="255" spans="6:6" x14ac:dyDescent="0.2">
      <c r="F255" s="9"/>
    </row>
    <row r="256" spans="6:6" x14ac:dyDescent="0.2">
      <c r="F256" s="9"/>
    </row>
    <row r="257" spans="6:6" x14ac:dyDescent="0.2">
      <c r="F257" s="9"/>
    </row>
    <row r="258" spans="6:6" x14ac:dyDescent="0.2">
      <c r="F258" s="9"/>
    </row>
    <row r="259" spans="6:6" x14ac:dyDescent="0.2">
      <c r="F259" s="9"/>
    </row>
    <row r="260" spans="6:6" x14ac:dyDescent="0.2">
      <c r="F260" s="9"/>
    </row>
    <row r="261" spans="6:6" x14ac:dyDescent="0.2">
      <c r="F261" s="9"/>
    </row>
    <row r="262" spans="6:6" x14ac:dyDescent="0.2">
      <c r="F262" s="9"/>
    </row>
    <row r="263" spans="6:6" x14ac:dyDescent="0.2">
      <c r="F263" s="9"/>
    </row>
    <row r="264" spans="6:6" x14ac:dyDescent="0.2">
      <c r="F264" s="9"/>
    </row>
    <row r="265" spans="6:6" x14ac:dyDescent="0.2">
      <c r="F265" s="9"/>
    </row>
    <row r="266" spans="6:6" x14ac:dyDescent="0.2">
      <c r="F266" s="9"/>
    </row>
    <row r="267" spans="6:6" x14ac:dyDescent="0.2">
      <c r="F267" s="9"/>
    </row>
    <row r="268" spans="6:6" x14ac:dyDescent="0.2">
      <c r="F268" s="9"/>
    </row>
    <row r="269" spans="6:6" x14ac:dyDescent="0.2">
      <c r="F269" s="9"/>
    </row>
    <row r="270" spans="6:6" x14ac:dyDescent="0.2">
      <c r="F270" s="9"/>
    </row>
    <row r="271" spans="6:6" x14ac:dyDescent="0.2">
      <c r="F271" s="9"/>
    </row>
    <row r="272" spans="6:6" x14ac:dyDescent="0.2">
      <c r="F272" s="9"/>
    </row>
    <row r="273" spans="6:6" x14ac:dyDescent="0.2">
      <c r="F273" s="9"/>
    </row>
    <row r="274" spans="6:6" x14ac:dyDescent="0.2">
      <c r="F274" s="9"/>
    </row>
    <row r="275" spans="6:6" x14ac:dyDescent="0.2">
      <c r="F275" s="9"/>
    </row>
    <row r="276" spans="6:6" x14ac:dyDescent="0.2">
      <c r="F276" s="9"/>
    </row>
    <row r="277" spans="6:6" x14ac:dyDescent="0.2">
      <c r="F277" s="9"/>
    </row>
    <row r="278" spans="6:6" x14ac:dyDescent="0.2">
      <c r="F278" s="9"/>
    </row>
    <row r="279" spans="6:6" x14ac:dyDescent="0.2">
      <c r="F279" s="9"/>
    </row>
    <row r="280" spans="6:6" x14ac:dyDescent="0.2">
      <c r="F280" s="9"/>
    </row>
    <row r="281" spans="6:6" x14ac:dyDescent="0.2">
      <c r="F281" s="9"/>
    </row>
    <row r="282" spans="6:6" x14ac:dyDescent="0.2">
      <c r="F282" s="9"/>
    </row>
    <row r="283" spans="6:6" x14ac:dyDescent="0.2">
      <c r="F283" s="9"/>
    </row>
    <row r="284" spans="6:6" x14ac:dyDescent="0.2">
      <c r="F284" s="9"/>
    </row>
    <row r="285" spans="6:6" x14ac:dyDescent="0.2">
      <c r="F285" s="9"/>
    </row>
    <row r="286" spans="6:6" x14ac:dyDescent="0.2">
      <c r="F286" s="9"/>
    </row>
    <row r="287" spans="6:6" x14ac:dyDescent="0.2">
      <c r="F287" s="9"/>
    </row>
    <row r="288" spans="6:6" x14ac:dyDescent="0.2">
      <c r="F288" s="9"/>
    </row>
    <row r="289" spans="6:6" x14ac:dyDescent="0.2">
      <c r="F289" s="9"/>
    </row>
    <row r="290" spans="6:6" x14ac:dyDescent="0.2">
      <c r="F290" s="9"/>
    </row>
    <row r="291" spans="6:6" x14ac:dyDescent="0.2">
      <c r="F291" s="9"/>
    </row>
    <row r="292" spans="6:6" x14ac:dyDescent="0.2">
      <c r="F292" s="9"/>
    </row>
    <row r="293" spans="6:6" x14ac:dyDescent="0.2">
      <c r="F293" s="9"/>
    </row>
    <row r="294" spans="6:6" x14ac:dyDescent="0.2">
      <c r="F294" s="9"/>
    </row>
    <row r="295" spans="6:6" x14ac:dyDescent="0.2">
      <c r="F295" s="9"/>
    </row>
    <row r="296" spans="6:6" x14ac:dyDescent="0.2">
      <c r="F296" s="9"/>
    </row>
    <row r="297" spans="6:6" x14ac:dyDescent="0.2">
      <c r="F297" s="9"/>
    </row>
    <row r="298" spans="6:6" x14ac:dyDescent="0.2">
      <c r="F298" s="9"/>
    </row>
    <row r="299" spans="6:6" x14ac:dyDescent="0.2">
      <c r="F299" s="9"/>
    </row>
    <row r="300" spans="6:6" x14ac:dyDescent="0.2">
      <c r="F300" s="9"/>
    </row>
    <row r="301" spans="6:6" x14ac:dyDescent="0.2">
      <c r="F301" s="9"/>
    </row>
    <row r="302" spans="6:6" x14ac:dyDescent="0.2">
      <c r="F302" s="9"/>
    </row>
    <row r="303" spans="6:6" x14ac:dyDescent="0.2">
      <c r="F303" s="9"/>
    </row>
    <row r="304" spans="6:6" x14ac:dyDescent="0.2">
      <c r="F304" s="9"/>
    </row>
    <row r="305" spans="6:6" x14ac:dyDescent="0.2">
      <c r="F305" s="9"/>
    </row>
    <row r="306" spans="6:6" x14ac:dyDescent="0.2">
      <c r="F306" s="9"/>
    </row>
    <row r="307" spans="6:6" x14ac:dyDescent="0.2">
      <c r="F307" s="9"/>
    </row>
    <row r="308" spans="6:6" x14ac:dyDescent="0.2">
      <c r="F308" s="9"/>
    </row>
    <row r="309" spans="6:6" x14ac:dyDescent="0.2">
      <c r="F309" s="9"/>
    </row>
    <row r="310" spans="6:6" x14ac:dyDescent="0.2">
      <c r="F310" s="9"/>
    </row>
    <row r="311" spans="6:6" x14ac:dyDescent="0.2">
      <c r="F311" s="9"/>
    </row>
    <row r="312" spans="6:6" x14ac:dyDescent="0.2">
      <c r="F312" s="9"/>
    </row>
    <row r="313" spans="6:6" x14ac:dyDescent="0.2">
      <c r="F313" s="9"/>
    </row>
    <row r="314" spans="6:6" x14ac:dyDescent="0.2">
      <c r="F314" s="9"/>
    </row>
    <row r="315" spans="6:6" x14ac:dyDescent="0.2">
      <c r="F315" s="9"/>
    </row>
    <row r="316" spans="6:6" x14ac:dyDescent="0.2">
      <c r="F316" s="9"/>
    </row>
    <row r="317" spans="6:6" x14ac:dyDescent="0.2">
      <c r="F317" s="9"/>
    </row>
    <row r="318" spans="6:6" x14ac:dyDescent="0.2">
      <c r="F318" s="9"/>
    </row>
    <row r="319" spans="6:6" x14ac:dyDescent="0.2">
      <c r="F319" s="9"/>
    </row>
    <row r="320" spans="6:6" x14ac:dyDescent="0.2">
      <c r="F320" s="9"/>
    </row>
    <row r="321" spans="6:6" x14ac:dyDescent="0.2">
      <c r="F321" s="9"/>
    </row>
    <row r="322" spans="6:6" x14ac:dyDescent="0.2">
      <c r="F322" s="9"/>
    </row>
    <row r="323" spans="6:6" x14ac:dyDescent="0.2">
      <c r="F323" s="9"/>
    </row>
    <row r="324" spans="6:6" x14ac:dyDescent="0.2">
      <c r="F324" s="9"/>
    </row>
    <row r="325" spans="6:6" x14ac:dyDescent="0.2">
      <c r="F325" s="9"/>
    </row>
    <row r="326" spans="6:6" x14ac:dyDescent="0.2">
      <c r="F326" s="9"/>
    </row>
    <row r="327" spans="6:6" x14ac:dyDescent="0.2">
      <c r="F327" s="9"/>
    </row>
    <row r="328" spans="6:6" x14ac:dyDescent="0.2">
      <c r="F328" s="9"/>
    </row>
    <row r="329" spans="6:6" x14ac:dyDescent="0.2">
      <c r="F329" s="9"/>
    </row>
    <row r="330" spans="6:6" x14ac:dyDescent="0.2">
      <c r="F330" s="9"/>
    </row>
    <row r="331" spans="6:6" x14ac:dyDescent="0.2">
      <c r="F331" s="9"/>
    </row>
    <row r="332" spans="6:6" x14ac:dyDescent="0.2">
      <c r="F332" s="9"/>
    </row>
    <row r="333" spans="6:6" x14ac:dyDescent="0.2">
      <c r="F333" s="9"/>
    </row>
    <row r="334" spans="6:6" x14ac:dyDescent="0.2">
      <c r="F334" s="9"/>
    </row>
    <row r="335" spans="6:6" x14ac:dyDescent="0.2">
      <c r="F335" s="9"/>
    </row>
    <row r="336" spans="6:6" x14ac:dyDescent="0.2">
      <c r="F336" s="9"/>
    </row>
    <row r="337" spans="6:6" x14ac:dyDescent="0.2">
      <c r="F337" s="9"/>
    </row>
    <row r="338" spans="6:6" x14ac:dyDescent="0.2">
      <c r="F338" s="9"/>
    </row>
    <row r="339" spans="6:6" x14ac:dyDescent="0.2">
      <c r="F339" s="9"/>
    </row>
    <row r="340" spans="6:6" x14ac:dyDescent="0.2">
      <c r="F340" s="9"/>
    </row>
    <row r="341" spans="6:6" x14ac:dyDescent="0.2">
      <c r="F341" s="9"/>
    </row>
    <row r="342" spans="6:6" x14ac:dyDescent="0.2">
      <c r="F342" s="9"/>
    </row>
    <row r="343" spans="6:6" x14ac:dyDescent="0.2">
      <c r="F343" s="9"/>
    </row>
    <row r="344" spans="6:6" x14ac:dyDescent="0.2">
      <c r="F344" s="9"/>
    </row>
    <row r="345" spans="6:6" x14ac:dyDescent="0.2">
      <c r="F345" s="9"/>
    </row>
    <row r="346" spans="6:6" x14ac:dyDescent="0.2">
      <c r="F346" s="9"/>
    </row>
    <row r="347" spans="6:6" x14ac:dyDescent="0.2">
      <c r="F347" s="9"/>
    </row>
    <row r="348" spans="6:6" x14ac:dyDescent="0.2">
      <c r="F348" s="9"/>
    </row>
    <row r="349" spans="6:6" x14ac:dyDescent="0.2">
      <c r="F349" s="9"/>
    </row>
    <row r="350" spans="6:6" x14ac:dyDescent="0.2">
      <c r="F350" s="9"/>
    </row>
    <row r="351" spans="6:6" x14ac:dyDescent="0.2">
      <c r="F351" s="9"/>
    </row>
    <row r="352" spans="6:6" x14ac:dyDescent="0.2">
      <c r="F352" s="9"/>
    </row>
    <row r="353" spans="6:6" x14ac:dyDescent="0.2">
      <c r="F353" s="9"/>
    </row>
    <row r="354" spans="6:6" x14ac:dyDescent="0.2">
      <c r="F354" s="9"/>
    </row>
    <row r="355" spans="6:6" x14ac:dyDescent="0.2">
      <c r="F355" s="9"/>
    </row>
    <row r="356" spans="6:6" x14ac:dyDescent="0.2">
      <c r="F356" s="9"/>
    </row>
    <row r="357" spans="6:6" x14ac:dyDescent="0.2">
      <c r="F357" s="9"/>
    </row>
    <row r="358" spans="6:6" x14ac:dyDescent="0.2">
      <c r="F358" s="9"/>
    </row>
    <row r="359" spans="6:6" x14ac:dyDescent="0.2">
      <c r="F359" s="9"/>
    </row>
    <row r="360" spans="6:6" x14ac:dyDescent="0.2">
      <c r="F360" s="9"/>
    </row>
    <row r="361" spans="6:6" x14ac:dyDescent="0.2">
      <c r="F361" s="9"/>
    </row>
    <row r="362" spans="6:6" x14ac:dyDescent="0.2">
      <c r="F362" s="9"/>
    </row>
    <row r="363" spans="6:6" x14ac:dyDescent="0.2">
      <c r="F363" s="9"/>
    </row>
    <row r="364" spans="6:6" x14ac:dyDescent="0.2">
      <c r="F364" s="9"/>
    </row>
    <row r="365" spans="6:6" x14ac:dyDescent="0.2">
      <c r="F365" s="9"/>
    </row>
    <row r="366" spans="6:6" x14ac:dyDescent="0.2">
      <c r="F366" s="9"/>
    </row>
    <row r="367" spans="6:6" x14ac:dyDescent="0.2">
      <c r="F367" s="9"/>
    </row>
    <row r="368" spans="6:6" x14ac:dyDescent="0.2">
      <c r="F368" s="9"/>
    </row>
    <row r="369" spans="6:6" x14ac:dyDescent="0.2">
      <c r="F369" s="9"/>
    </row>
    <row r="370" spans="6:6" x14ac:dyDescent="0.2">
      <c r="F370" s="9"/>
    </row>
    <row r="371" spans="6:6" x14ac:dyDescent="0.2">
      <c r="F371" s="9"/>
    </row>
    <row r="372" spans="6:6" x14ac:dyDescent="0.2">
      <c r="F372" s="9"/>
    </row>
    <row r="373" spans="6:6" x14ac:dyDescent="0.2">
      <c r="F373" s="9"/>
    </row>
    <row r="374" spans="6:6" x14ac:dyDescent="0.2">
      <c r="F374" s="9"/>
    </row>
    <row r="375" spans="6:6" x14ac:dyDescent="0.2">
      <c r="F375" s="9"/>
    </row>
    <row r="376" spans="6:6" x14ac:dyDescent="0.2">
      <c r="F376" s="9"/>
    </row>
    <row r="377" spans="6:6" x14ac:dyDescent="0.2">
      <c r="F377" s="9"/>
    </row>
    <row r="378" spans="6:6" x14ac:dyDescent="0.2">
      <c r="F378" s="9"/>
    </row>
    <row r="379" spans="6:6" x14ac:dyDescent="0.2">
      <c r="F379" s="9"/>
    </row>
    <row r="380" spans="6:6" x14ac:dyDescent="0.2">
      <c r="F380" s="9"/>
    </row>
    <row r="381" spans="6:6" x14ac:dyDescent="0.2">
      <c r="F381" s="9"/>
    </row>
    <row r="382" spans="6:6" x14ac:dyDescent="0.2">
      <c r="F382" s="9"/>
    </row>
    <row r="383" spans="6:6" x14ac:dyDescent="0.2">
      <c r="F383" s="9"/>
    </row>
    <row r="384" spans="6:6" x14ac:dyDescent="0.2">
      <c r="F384" s="9"/>
    </row>
    <row r="385" spans="6:6" x14ac:dyDescent="0.2">
      <c r="F385" s="9"/>
    </row>
    <row r="386" spans="6:6" x14ac:dyDescent="0.2">
      <c r="F386" s="9"/>
    </row>
    <row r="387" spans="6:6" x14ac:dyDescent="0.2">
      <c r="F387" s="9"/>
    </row>
    <row r="388" spans="6:6" x14ac:dyDescent="0.2">
      <c r="F388" s="9"/>
    </row>
    <row r="389" spans="6:6" x14ac:dyDescent="0.2">
      <c r="F389" s="9"/>
    </row>
    <row r="390" spans="6:6" x14ac:dyDescent="0.2">
      <c r="F390" s="9"/>
    </row>
    <row r="391" spans="6:6" x14ac:dyDescent="0.2">
      <c r="F391" s="9"/>
    </row>
    <row r="392" spans="6:6" x14ac:dyDescent="0.2">
      <c r="F392" s="9"/>
    </row>
    <row r="393" spans="6:6" x14ac:dyDescent="0.2">
      <c r="F393" s="9"/>
    </row>
    <row r="394" spans="6:6" x14ac:dyDescent="0.2">
      <c r="F394" s="9"/>
    </row>
    <row r="395" spans="6:6" x14ac:dyDescent="0.2">
      <c r="F395" s="9"/>
    </row>
    <row r="396" spans="6:6" x14ac:dyDescent="0.2">
      <c r="F396" s="9"/>
    </row>
    <row r="397" spans="6:6" x14ac:dyDescent="0.2">
      <c r="F397" s="9"/>
    </row>
    <row r="398" spans="6:6" x14ac:dyDescent="0.2">
      <c r="F398" s="9"/>
    </row>
    <row r="399" spans="6:6" x14ac:dyDescent="0.2">
      <c r="F399" s="9"/>
    </row>
    <row r="400" spans="6:6" x14ac:dyDescent="0.2">
      <c r="F400" s="9"/>
    </row>
    <row r="401" spans="6:6" x14ac:dyDescent="0.2">
      <c r="F401" s="9"/>
    </row>
    <row r="402" spans="6:6" x14ac:dyDescent="0.2">
      <c r="F402" s="9"/>
    </row>
    <row r="403" spans="6:6" x14ac:dyDescent="0.2">
      <c r="F403" s="9"/>
    </row>
    <row r="404" spans="6:6" x14ac:dyDescent="0.2">
      <c r="F404" s="9"/>
    </row>
    <row r="405" spans="6:6" x14ac:dyDescent="0.2">
      <c r="F405" s="9"/>
    </row>
    <row r="406" spans="6:6" x14ac:dyDescent="0.2">
      <c r="F406" s="9"/>
    </row>
    <row r="407" spans="6:6" x14ac:dyDescent="0.2">
      <c r="F407" s="9"/>
    </row>
    <row r="408" spans="6:6" x14ac:dyDescent="0.2">
      <c r="F408" s="9"/>
    </row>
    <row r="409" spans="6:6" x14ac:dyDescent="0.2">
      <c r="F409" s="9"/>
    </row>
    <row r="410" spans="6:6" x14ac:dyDescent="0.2">
      <c r="F410" s="9"/>
    </row>
    <row r="411" spans="6:6" x14ac:dyDescent="0.2">
      <c r="F411" s="9"/>
    </row>
    <row r="412" spans="6:6" x14ac:dyDescent="0.2">
      <c r="F412" s="9"/>
    </row>
    <row r="413" spans="6:6" x14ac:dyDescent="0.2">
      <c r="F413" s="9"/>
    </row>
    <row r="414" spans="6:6" x14ac:dyDescent="0.2">
      <c r="F414" s="9"/>
    </row>
    <row r="415" spans="6:6" x14ac:dyDescent="0.2">
      <c r="F415" s="9"/>
    </row>
    <row r="416" spans="6:6" x14ac:dyDescent="0.2">
      <c r="F416" s="9"/>
    </row>
    <row r="417" spans="6:6" x14ac:dyDescent="0.2">
      <c r="F417" s="9"/>
    </row>
    <row r="418" spans="6:6" x14ac:dyDescent="0.2">
      <c r="F418" s="9"/>
    </row>
    <row r="419" spans="6:6" x14ac:dyDescent="0.2">
      <c r="F419" s="9"/>
    </row>
    <row r="420" spans="6:6" x14ac:dyDescent="0.2">
      <c r="F420" s="9"/>
    </row>
    <row r="421" spans="6:6" x14ac:dyDescent="0.2">
      <c r="F421" s="9"/>
    </row>
    <row r="422" spans="6:6" x14ac:dyDescent="0.2">
      <c r="F422" s="9"/>
    </row>
    <row r="423" spans="6:6" x14ac:dyDescent="0.2">
      <c r="F423" s="9"/>
    </row>
    <row r="424" spans="6:6" x14ac:dyDescent="0.2">
      <c r="F424" s="9"/>
    </row>
    <row r="425" spans="6:6" x14ac:dyDescent="0.2">
      <c r="F425" s="9"/>
    </row>
    <row r="426" spans="6:6" x14ac:dyDescent="0.2">
      <c r="F426" s="9"/>
    </row>
    <row r="427" spans="6:6" x14ac:dyDescent="0.2">
      <c r="F427" s="9"/>
    </row>
    <row r="428" spans="6:6" x14ac:dyDescent="0.2">
      <c r="F428" s="9"/>
    </row>
    <row r="429" spans="6:6" x14ac:dyDescent="0.2">
      <c r="F429" s="9"/>
    </row>
    <row r="430" spans="6:6" x14ac:dyDescent="0.2">
      <c r="F430" s="9"/>
    </row>
    <row r="431" spans="6:6" x14ac:dyDescent="0.2">
      <c r="F431" s="9"/>
    </row>
    <row r="432" spans="6:6" x14ac:dyDescent="0.2">
      <c r="F432" s="9"/>
    </row>
    <row r="433" spans="6:6" x14ac:dyDescent="0.2">
      <c r="F433" s="9"/>
    </row>
    <row r="434" spans="6:6" x14ac:dyDescent="0.2">
      <c r="F434" s="9"/>
    </row>
    <row r="435" spans="6:6" x14ac:dyDescent="0.2">
      <c r="F435" s="9"/>
    </row>
    <row r="436" spans="6:6" x14ac:dyDescent="0.2">
      <c r="F436" s="9"/>
    </row>
    <row r="437" spans="6:6" x14ac:dyDescent="0.2">
      <c r="F437" s="9"/>
    </row>
    <row r="438" spans="6:6" x14ac:dyDescent="0.2">
      <c r="F438" s="9"/>
    </row>
    <row r="439" spans="6:6" x14ac:dyDescent="0.2">
      <c r="F439" s="9"/>
    </row>
    <row r="440" spans="6:6" x14ac:dyDescent="0.2">
      <c r="F440" s="9"/>
    </row>
    <row r="441" spans="6:6" x14ac:dyDescent="0.2">
      <c r="F441" s="9"/>
    </row>
    <row r="442" spans="6:6" x14ac:dyDescent="0.2">
      <c r="F442" s="9"/>
    </row>
    <row r="443" spans="6:6" x14ac:dyDescent="0.2">
      <c r="F443" s="9"/>
    </row>
    <row r="444" spans="6:6" x14ac:dyDescent="0.2">
      <c r="F444" s="9"/>
    </row>
    <row r="445" spans="6:6" x14ac:dyDescent="0.2">
      <c r="F445" s="9"/>
    </row>
    <row r="446" spans="6:6" x14ac:dyDescent="0.2">
      <c r="F446" s="9"/>
    </row>
    <row r="447" spans="6:6" x14ac:dyDescent="0.2">
      <c r="F447" s="9"/>
    </row>
    <row r="448" spans="6:6" x14ac:dyDescent="0.2">
      <c r="F448" s="9"/>
    </row>
    <row r="449" spans="6:6" x14ac:dyDescent="0.2">
      <c r="F449" s="9"/>
    </row>
    <row r="450" spans="6:6" x14ac:dyDescent="0.2">
      <c r="F450" s="9"/>
    </row>
    <row r="451" spans="6:6" x14ac:dyDescent="0.2">
      <c r="F451" s="9"/>
    </row>
    <row r="452" spans="6:6" x14ac:dyDescent="0.2">
      <c r="F452" s="9"/>
    </row>
    <row r="453" spans="6:6" x14ac:dyDescent="0.2">
      <c r="F453" s="9"/>
    </row>
    <row r="454" spans="6:6" x14ac:dyDescent="0.2">
      <c r="F454" s="9"/>
    </row>
    <row r="455" spans="6:6" x14ac:dyDescent="0.2">
      <c r="F455" s="9"/>
    </row>
    <row r="456" spans="6:6" x14ac:dyDescent="0.2">
      <c r="F456" s="9"/>
    </row>
    <row r="457" spans="6:6" x14ac:dyDescent="0.2">
      <c r="F457" s="9"/>
    </row>
    <row r="458" spans="6:6" x14ac:dyDescent="0.2">
      <c r="F458" s="9"/>
    </row>
    <row r="459" spans="6:6" x14ac:dyDescent="0.2">
      <c r="F459" s="9"/>
    </row>
    <row r="460" spans="6:6" x14ac:dyDescent="0.2">
      <c r="F460" s="9"/>
    </row>
    <row r="461" spans="6:6" x14ac:dyDescent="0.2">
      <c r="F461" s="9"/>
    </row>
    <row r="462" spans="6:6" x14ac:dyDescent="0.2">
      <c r="F462" s="9"/>
    </row>
    <row r="463" spans="6:6" x14ac:dyDescent="0.2">
      <c r="F463" s="9"/>
    </row>
    <row r="464" spans="6:6" x14ac:dyDescent="0.2">
      <c r="F464" s="9"/>
    </row>
    <row r="465" spans="6:6" x14ac:dyDescent="0.2">
      <c r="F465" s="9"/>
    </row>
    <row r="466" spans="6:6" x14ac:dyDescent="0.2">
      <c r="F466" s="9"/>
    </row>
    <row r="467" spans="6:6" x14ac:dyDescent="0.2">
      <c r="F467" s="9"/>
    </row>
    <row r="468" spans="6:6" x14ac:dyDescent="0.2">
      <c r="F468" s="9"/>
    </row>
    <row r="469" spans="6:6" x14ac:dyDescent="0.2">
      <c r="F469" s="9"/>
    </row>
    <row r="470" spans="6:6" x14ac:dyDescent="0.2">
      <c r="F470" s="9"/>
    </row>
    <row r="471" spans="6:6" x14ac:dyDescent="0.2">
      <c r="F471" s="9"/>
    </row>
    <row r="472" spans="6:6" x14ac:dyDescent="0.2">
      <c r="F472" s="9"/>
    </row>
    <row r="473" spans="6:6" x14ac:dyDescent="0.2">
      <c r="F473" s="9"/>
    </row>
    <row r="474" spans="6:6" x14ac:dyDescent="0.2">
      <c r="F474" s="9"/>
    </row>
    <row r="475" spans="6:6" x14ac:dyDescent="0.2">
      <c r="F475" s="9"/>
    </row>
    <row r="476" spans="6:6" x14ac:dyDescent="0.2">
      <c r="F476" s="9"/>
    </row>
    <row r="477" spans="6:6" x14ac:dyDescent="0.2">
      <c r="F477" s="9"/>
    </row>
    <row r="478" spans="6:6" x14ac:dyDescent="0.2">
      <c r="F478" s="9"/>
    </row>
    <row r="479" spans="6:6" x14ac:dyDescent="0.2">
      <c r="F479" s="9"/>
    </row>
    <row r="480" spans="6:6" x14ac:dyDescent="0.2">
      <c r="F480" s="9"/>
    </row>
    <row r="481" spans="6:6" x14ac:dyDescent="0.2">
      <c r="F481" s="9"/>
    </row>
    <row r="482" spans="6:6" x14ac:dyDescent="0.2">
      <c r="F482" s="9"/>
    </row>
    <row r="483" spans="6:6" x14ac:dyDescent="0.2">
      <c r="F483" s="9"/>
    </row>
    <row r="484" spans="6:6" x14ac:dyDescent="0.2">
      <c r="F484" s="9"/>
    </row>
    <row r="485" spans="6:6" x14ac:dyDescent="0.2">
      <c r="F485" s="9"/>
    </row>
    <row r="486" spans="6:6" x14ac:dyDescent="0.2">
      <c r="F486" s="9"/>
    </row>
    <row r="487" spans="6:6" x14ac:dyDescent="0.2">
      <c r="F487" s="9"/>
    </row>
    <row r="488" spans="6:6" x14ac:dyDescent="0.2">
      <c r="F488" s="9"/>
    </row>
    <row r="489" spans="6:6" x14ac:dyDescent="0.2">
      <c r="F489" s="9"/>
    </row>
    <row r="490" spans="6:6" x14ac:dyDescent="0.2">
      <c r="F490" s="9"/>
    </row>
    <row r="491" spans="6:6" x14ac:dyDescent="0.2">
      <c r="F491" s="9"/>
    </row>
    <row r="492" spans="6:6" x14ac:dyDescent="0.2">
      <c r="F492" s="9"/>
    </row>
    <row r="493" spans="6:6" x14ac:dyDescent="0.2">
      <c r="F493" s="9"/>
    </row>
    <row r="494" spans="6:6" x14ac:dyDescent="0.2">
      <c r="F494" s="9"/>
    </row>
    <row r="495" spans="6:6" x14ac:dyDescent="0.2">
      <c r="F495" s="9"/>
    </row>
    <row r="496" spans="6:6" x14ac:dyDescent="0.2">
      <c r="F496" s="9"/>
    </row>
    <row r="497" spans="6:6" x14ac:dyDescent="0.2">
      <c r="F497" s="9"/>
    </row>
    <row r="498" spans="6:6" x14ac:dyDescent="0.2">
      <c r="F498" s="9"/>
    </row>
    <row r="499" spans="6:6" x14ac:dyDescent="0.2">
      <c r="F499" s="9"/>
    </row>
    <row r="500" spans="6:6" x14ac:dyDescent="0.2">
      <c r="F500" s="9"/>
    </row>
    <row r="501" spans="6:6" x14ac:dyDescent="0.2">
      <c r="F501" s="22"/>
    </row>
    <row r="502" spans="6:6" x14ac:dyDescent="0.2">
      <c r="F502" s="22"/>
    </row>
    <row r="503" spans="6:6" x14ac:dyDescent="0.2">
      <c r="F503" s="22"/>
    </row>
    <row r="504" spans="6:6" x14ac:dyDescent="0.2">
      <c r="F504" s="22"/>
    </row>
    <row r="505" spans="6:6" x14ac:dyDescent="0.2">
      <c r="F505" s="22"/>
    </row>
    <row r="506" spans="6:6" x14ac:dyDescent="0.2">
      <c r="F506" s="22"/>
    </row>
    <row r="507" spans="6:6" x14ac:dyDescent="0.2">
      <c r="F507" s="22"/>
    </row>
    <row r="508" spans="6:6" x14ac:dyDescent="0.2">
      <c r="F508" s="22"/>
    </row>
    <row r="509" spans="6:6" x14ac:dyDescent="0.2">
      <c r="F509" s="22"/>
    </row>
    <row r="510" spans="6:6" x14ac:dyDescent="0.2">
      <c r="F510" s="22"/>
    </row>
    <row r="511" spans="6:6" x14ac:dyDescent="0.2">
      <c r="F511" s="22"/>
    </row>
    <row r="512" spans="6:6" x14ac:dyDescent="0.2">
      <c r="F512" s="22"/>
    </row>
    <row r="513" spans="6:6" x14ac:dyDescent="0.2">
      <c r="F513" s="22"/>
    </row>
    <row r="514" spans="6:6" x14ac:dyDescent="0.2">
      <c r="F514" s="22"/>
    </row>
    <row r="515" spans="6:6" x14ac:dyDescent="0.2">
      <c r="F515" s="22"/>
    </row>
    <row r="516" spans="6:6" x14ac:dyDescent="0.2">
      <c r="F516" s="22"/>
    </row>
    <row r="517" spans="6:6" x14ac:dyDescent="0.2">
      <c r="F517" s="22"/>
    </row>
    <row r="518" spans="6:6" x14ac:dyDescent="0.2">
      <c r="F518" s="22"/>
    </row>
    <row r="519" spans="6:6" x14ac:dyDescent="0.2">
      <c r="F519" s="22"/>
    </row>
    <row r="520" spans="6:6" x14ac:dyDescent="0.2">
      <c r="F520" s="22"/>
    </row>
    <row r="521" spans="6:6" x14ac:dyDescent="0.2">
      <c r="F521" s="22"/>
    </row>
    <row r="522" spans="6:6" x14ac:dyDescent="0.2">
      <c r="F522" s="22"/>
    </row>
    <row r="523" spans="6:6" x14ac:dyDescent="0.2">
      <c r="F523" s="22"/>
    </row>
    <row r="524" spans="6:6" x14ac:dyDescent="0.2">
      <c r="F524" s="22"/>
    </row>
    <row r="525" spans="6:6" x14ac:dyDescent="0.2">
      <c r="F525" s="22"/>
    </row>
    <row r="526" spans="6:6" x14ac:dyDescent="0.2">
      <c r="F526" s="22"/>
    </row>
    <row r="527" spans="6:6" x14ac:dyDescent="0.2">
      <c r="F527" s="22"/>
    </row>
    <row r="528" spans="6:6" x14ac:dyDescent="0.2">
      <c r="F528" s="22"/>
    </row>
    <row r="529" spans="6:6" x14ac:dyDescent="0.2">
      <c r="F529" s="22"/>
    </row>
    <row r="530" spans="6:6" x14ac:dyDescent="0.2">
      <c r="F530" s="22"/>
    </row>
    <row r="531" spans="6:6" x14ac:dyDescent="0.2">
      <c r="F531" s="22"/>
    </row>
    <row r="532" spans="6:6" x14ac:dyDescent="0.2">
      <c r="F532" s="22"/>
    </row>
    <row r="533" spans="6:6" x14ac:dyDescent="0.2">
      <c r="F533" s="22"/>
    </row>
    <row r="534" spans="6:6" x14ac:dyDescent="0.2">
      <c r="F534" s="22"/>
    </row>
    <row r="535" spans="6:6" x14ac:dyDescent="0.2">
      <c r="F535" s="22"/>
    </row>
    <row r="536" spans="6:6" x14ac:dyDescent="0.2">
      <c r="F536" s="22"/>
    </row>
    <row r="537" spans="6:6" x14ac:dyDescent="0.2">
      <c r="F537" s="22"/>
    </row>
    <row r="538" spans="6:6" x14ac:dyDescent="0.2">
      <c r="F538" s="22"/>
    </row>
    <row r="539" spans="6:6" x14ac:dyDescent="0.2">
      <c r="F539" s="22"/>
    </row>
    <row r="540" spans="6:6" x14ac:dyDescent="0.2">
      <c r="F540" s="22"/>
    </row>
    <row r="541" spans="6:6" x14ac:dyDescent="0.2">
      <c r="F541" s="22"/>
    </row>
    <row r="542" spans="6:6" x14ac:dyDescent="0.2">
      <c r="F542" s="22"/>
    </row>
    <row r="543" spans="6:6" x14ac:dyDescent="0.2">
      <c r="F543" s="22"/>
    </row>
    <row r="544" spans="6:6" x14ac:dyDescent="0.2">
      <c r="F544" s="22"/>
    </row>
    <row r="545" spans="6:6" x14ac:dyDescent="0.2">
      <c r="F545" s="22"/>
    </row>
    <row r="546" spans="6:6" x14ac:dyDescent="0.2">
      <c r="F546" s="22"/>
    </row>
    <row r="547" spans="6:6" x14ac:dyDescent="0.2">
      <c r="F547" s="22"/>
    </row>
    <row r="548" spans="6:6" x14ac:dyDescent="0.2">
      <c r="F548" s="22"/>
    </row>
    <row r="549" spans="6:6" x14ac:dyDescent="0.2">
      <c r="F549" s="22"/>
    </row>
    <row r="550" spans="6:6" x14ac:dyDescent="0.2">
      <c r="F550" s="22"/>
    </row>
    <row r="551" spans="6:6" x14ac:dyDescent="0.2">
      <c r="F551" s="22"/>
    </row>
    <row r="552" spans="6:6" x14ac:dyDescent="0.2">
      <c r="F552" s="22"/>
    </row>
    <row r="553" spans="6:6" x14ac:dyDescent="0.2">
      <c r="F553" s="22"/>
    </row>
    <row r="554" spans="6:6" x14ac:dyDescent="0.2">
      <c r="F554" s="22"/>
    </row>
    <row r="555" spans="6:6" x14ac:dyDescent="0.2">
      <c r="F555" s="22"/>
    </row>
    <row r="556" spans="6:6" x14ac:dyDescent="0.2">
      <c r="F556" s="22"/>
    </row>
    <row r="557" spans="6:6" x14ac:dyDescent="0.2">
      <c r="F557" s="22"/>
    </row>
    <row r="558" spans="6:6" x14ac:dyDescent="0.2">
      <c r="F558" s="22"/>
    </row>
    <row r="559" spans="6:6" x14ac:dyDescent="0.2">
      <c r="F559" s="22"/>
    </row>
    <row r="560" spans="6:6" x14ac:dyDescent="0.2">
      <c r="F560" s="22"/>
    </row>
    <row r="561" spans="6:6" x14ac:dyDescent="0.2">
      <c r="F561" s="22"/>
    </row>
    <row r="562" spans="6:6" x14ac:dyDescent="0.2">
      <c r="F562" s="22"/>
    </row>
    <row r="563" spans="6:6" x14ac:dyDescent="0.2">
      <c r="F563" s="22"/>
    </row>
    <row r="564" spans="6:6" x14ac:dyDescent="0.2">
      <c r="F564" s="22"/>
    </row>
    <row r="565" spans="6:6" x14ac:dyDescent="0.2">
      <c r="F565" s="22"/>
    </row>
    <row r="566" spans="6:6" x14ac:dyDescent="0.2">
      <c r="F566" s="22"/>
    </row>
    <row r="567" spans="6:6" x14ac:dyDescent="0.2">
      <c r="F567" s="22"/>
    </row>
    <row r="568" spans="6:6" x14ac:dyDescent="0.2">
      <c r="F568" s="22"/>
    </row>
    <row r="569" spans="6:6" x14ac:dyDescent="0.2">
      <c r="F569" s="22"/>
    </row>
    <row r="570" spans="6:6" x14ac:dyDescent="0.2">
      <c r="F570" s="22"/>
    </row>
    <row r="571" spans="6:6" x14ac:dyDescent="0.2">
      <c r="F571" s="22"/>
    </row>
    <row r="572" spans="6:6" x14ac:dyDescent="0.2">
      <c r="F572" s="22"/>
    </row>
    <row r="573" spans="6:6" x14ac:dyDescent="0.2">
      <c r="F573" s="22"/>
    </row>
    <row r="574" spans="6:6" x14ac:dyDescent="0.2">
      <c r="F574" s="22"/>
    </row>
    <row r="575" spans="6:6" x14ac:dyDescent="0.2">
      <c r="F575" s="22"/>
    </row>
    <row r="576" spans="6:6" x14ac:dyDescent="0.2">
      <c r="F576" s="22"/>
    </row>
    <row r="577" spans="6:6" x14ac:dyDescent="0.2">
      <c r="F577" s="22"/>
    </row>
    <row r="578" spans="6:6" x14ac:dyDescent="0.2">
      <c r="F578" s="22"/>
    </row>
    <row r="579" spans="6:6" x14ac:dyDescent="0.2">
      <c r="F579" s="22"/>
    </row>
    <row r="580" spans="6:6" x14ac:dyDescent="0.2">
      <c r="F580" s="22"/>
    </row>
    <row r="581" spans="6:6" x14ac:dyDescent="0.2">
      <c r="F581" s="22"/>
    </row>
    <row r="582" spans="6:6" x14ac:dyDescent="0.2">
      <c r="F582" s="22"/>
    </row>
    <row r="583" spans="6:6" x14ac:dyDescent="0.2">
      <c r="F583" s="22"/>
    </row>
    <row r="584" spans="6:6" x14ac:dyDescent="0.2">
      <c r="F584" s="22"/>
    </row>
    <row r="585" spans="6:6" x14ac:dyDescent="0.2">
      <c r="F585" s="22"/>
    </row>
    <row r="586" spans="6:6" x14ac:dyDescent="0.2">
      <c r="F586" s="22"/>
    </row>
    <row r="587" spans="6:6" x14ac:dyDescent="0.2">
      <c r="F587" s="22"/>
    </row>
    <row r="588" spans="6:6" x14ac:dyDescent="0.2">
      <c r="F588" s="22"/>
    </row>
    <row r="589" spans="6:6" x14ac:dyDescent="0.2">
      <c r="F589" s="22"/>
    </row>
    <row r="590" spans="6:6" x14ac:dyDescent="0.2">
      <c r="F590" s="22"/>
    </row>
    <row r="591" spans="6:6" x14ac:dyDescent="0.2">
      <c r="F591" s="22"/>
    </row>
    <row r="592" spans="6:6" x14ac:dyDescent="0.2">
      <c r="F592" s="22"/>
    </row>
    <row r="593" spans="6:6" x14ac:dyDescent="0.2">
      <c r="F593" s="22"/>
    </row>
    <row r="594" spans="6:6" x14ac:dyDescent="0.2">
      <c r="F594" s="22"/>
    </row>
    <row r="595" spans="6:6" x14ac:dyDescent="0.2">
      <c r="F595" s="22"/>
    </row>
    <row r="596" spans="6:6" x14ac:dyDescent="0.2">
      <c r="F596" s="22"/>
    </row>
    <row r="597" spans="6:6" x14ac:dyDescent="0.2">
      <c r="F597" s="22"/>
    </row>
    <row r="598" spans="6:6" x14ac:dyDescent="0.2">
      <c r="F598" s="22"/>
    </row>
    <row r="599" spans="6:6" x14ac:dyDescent="0.2">
      <c r="F599" s="22"/>
    </row>
    <row r="600" spans="6:6" x14ac:dyDescent="0.2">
      <c r="F600" s="22"/>
    </row>
    <row r="601" spans="6:6" x14ac:dyDescent="0.2">
      <c r="F601" s="22"/>
    </row>
    <row r="602" spans="6:6" x14ac:dyDescent="0.2">
      <c r="F602" s="22"/>
    </row>
    <row r="603" spans="6:6" x14ac:dyDescent="0.2">
      <c r="F603" s="22"/>
    </row>
    <row r="604" spans="6:6" x14ac:dyDescent="0.2">
      <c r="F604" s="22"/>
    </row>
    <row r="605" spans="6:6" x14ac:dyDescent="0.2">
      <c r="F605" s="22"/>
    </row>
    <row r="606" spans="6:6" x14ac:dyDescent="0.2">
      <c r="F606" s="22"/>
    </row>
    <row r="607" spans="6:6" x14ac:dyDescent="0.2">
      <c r="F607" s="22"/>
    </row>
    <row r="608" spans="6:6" x14ac:dyDescent="0.2">
      <c r="F608" s="22"/>
    </row>
    <row r="609" spans="6:6" x14ac:dyDescent="0.2">
      <c r="F609" s="22"/>
    </row>
    <row r="610" spans="6:6" x14ac:dyDescent="0.2">
      <c r="F610" s="22"/>
    </row>
    <row r="611" spans="6:6" x14ac:dyDescent="0.2">
      <c r="F611" s="22"/>
    </row>
    <row r="612" spans="6:6" x14ac:dyDescent="0.2">
      <c r="F612" s="22"/>
    </row>
    <row r="613" spans="6:6" x14ac:dyDescent="0.2">
      <c r="F613" s="22"/>
    </row>
    <row r="614" spans="6:6" x14ac:dyDescent="0.2">
      <c r="F614" s="22"/>
    </row>
    <row r="615" spans="6:6" x14ac:dyDescent="0.2">
      <c r="F615" s="22"/>
    </row>
    <row r="616" spans="6:6" x14ac:dyDescent="0.2">
      <c r="F616" s="22"/>
    </row>
    <row r="617" spans="6:6" x14ac:dyDescent="0.2">
      <c r="F617" s="22"/>
    </row>
    <row r="618" spans="6:6" x14ac:dyDescent="0.2">
      <c r="F618" s="22"/>
    </row>
    <row r="619" spans="6:6" x14ac:dyDescent="0.2">
      <c r="F619" s="22"/>
    </row>
    <row r="620" spans="6:6" x14ac:dyDescent="0.2">
      <c r="F620" s="22"/>
    </row>
    <row r="621" spans="6:6" x14ac:dyDescent="0.2">
      <c r="F621" s="22"/>
    </row>
    <row r="622" spans="6:6" x14ac:dyDescent="0.2">
      <c r="F622" s="22"/>
    </row>
    <row r="623" spans="6:6" x14ac:dyDescent="0.2">
      <c r="F623" s="22"/>
    </row>
    <row r="624" spans="6:6" x14ac:dyDescent="0.2">
      <c r="F624" s="22"/>
    </row>
    <row r="625" spans="6:6" x14ac:dyDescent="0.2">
      <c r="F625" s="22"/>
    </row>
    <row r="626" spans="6:6" x14ac:dyDescent="0.2">
      <c r="F626" s="22"/>
    </row>
    <row r="627" spans="6:6" x14ac:dyDescent="0.2">
      <c r="F627" s="22"/>
    </row>
    <row r="628" spans="6:6" x14ac:dyDescent="0.2">
      <c r="F628" s="22"/>
    </row>
    <row r="629" spans="6:6" x14ac:dyDescent="0.2">
      <c r="F629" s="22"/>
    </row>
    <row r="630" spans="6:6" x14ac:dyDescent="0.2">
      <c r="F630" s="22"/>
    </row>
    <row r="631" spans="6:6" x14ac:dyDescent="0.2">
      <c r="F631" s="22"/>
    </row>
    <row r="632" spans="6:6" x14ac:dyDescent="0.2">
      <c r="F632" s="22"/>
    </row>
    <row r="633" spans="6:6" x14ac:dyDescent="0.2">
      <c r="F633" s="22"/>
    </row>
    <row r="634" spans="6:6" x14ac:dyDescent="0.2">
      <c r="F634" s="22"/>
    </row>
    <row r="635" spans="6:6" x14ac:dyDescent="0.2">
      <c r="F635" s="22"/>
    </row>
    <row r="636" spans="6:6" x14ac:dyDescent="0.2">
      <c r="F636" s="22"/>
    </row>
    <row r="637" spans="6:6" x14ac:dyDescent="0.2">
      <c r="F637" s="22"/>
    </row>
    <row r="638" spans="6:6" x14ac:dyDescent="0.2">
      <c r="F638" s="22"/>
    </row>
    <row r="639" spans="6:6" x14ac:dyDescent="0.2">
      <c r="F639" s="22"/>
    </row>
    <row r="640" spans="6:6" x14ac:dyDescent="0.2">
      <c r="F640" s="22"/>
    </row>
    <row r="641" spans="6:6" x14ac:dyDescent="0.2">
      <c r="F641" s="22"/>
    </row>
    <row r="642" spans="6:6" x14ac:dyDescent="0.2">
      <c r="F642" s="22"/>
    </row>
    <row r="643" spans="6:6" x14ac:dyDescent="0.2">
      <c r="F643" s="22"/>
    </row>
    <row r="644" spans="6:6" x14ac:dyDescent="0.2">
      <c r="F644" s="22"/>
    </row>
    <row r="645" spans="6:6" x14ac:dyDescent="0.2">
      <c r="F645" s="22"/>
    </row>
    <row r="646" spans="6:6" x14ac:dyDescent="0.2">
      <c r="F646" s="22"/>
    </row>
    <row r="647" spans="6:6" x14ac:dyDescent="0.2">
      <c r="F647" s="22"/>
    </row>
    <row r="648" spans="6:6" x14ac:dyDescent="0.2">
      <c r="F648" s="22"/>
    </row>
    <row r="649" spans="6:6" x14ac:dyDescent="0.2">
      <c r="F649" s="22"/>
    </row>
    <row r="650" spans="6:6" x14ac:dyDescent="0.2">
      <c r="F650" s="22"/>
    </row>
    <row r="651" spans="6:6" x14ac:dyDescent="0.2">
      <c r="F651" s="22"/>
    </row>
    <row r="652" spans="6:6" x14ac:dyDescent="0.2">
      <c r="F652" s="22"/>
    </row>
    <row r="653" spans="6:6" x14ac:dyDescent="0.2">
      <c r="F653" s="22"/>
    </row>
    <row r="654" spans="6:6" x14ac:dyDescent="0.2">
      <c r="F654" s="22"/>
    </row>
    <row r="655" spans="6:6" x14ac:dyDescent="0.2">
      <c r="F655" s="22"/>
    </row>
    <row r="656" spans="6:6" x14ac:dyDescent="0.2">
      <c r="F656" s="22"/>
    </row>
    <row r="657" spans="6:6" x14ac:dyDescent="0.2">
      <c r="F657" s="22"/>
    </row>
    <row r="658" spans="6:6" x14ac:dyDescent="0.2">
      <c r="F658" s="22"/>
    </row>
    <row r="659" spans="6:6" x14ac:dyDescent="0.2">
      <c r="F659" s="22"/>
    </row>
    <row r="660" spans="6:6" x14ac:dyDescent="0.2">
      <c r="F660" s="22"/>
    </row>
    <row r="661" spans="6:6" x14ac:dyDescent="0.2">
      <c r="F661" s="22"/>
    </row>
    <row r="662" spans="6:6" x14ac:dyDescent="0.2">
      <c r="F662" s="22"/>
    </row>
    <row r="663" spans="6:6" x14ac:dyDescent="0.2">
      <c r="F663" s="22"/>
    </row>
    <row r="664" spans="6:6" x14ac:dyDescent="0.2">
      <c r="F664" s="22"/>
    </row>
    <row r="665" spans="6:6" x14ac:dyDescent="0.2">
      <c r="F665" s="22"/>
    </row>
    <row r="666" spans="6:6" x14ac:dyDescent="0.2">
      <c r="F666" s="22"/>
    </row>
    <row r="667" spans="6:6" x14ac:dyDescent="0.2">
      <c r="F667" s="22"/>
    </row>
    <row r="668" spans="6:6" x14ac:dyDescent="0.2">
      <c r="F668" s="22"/>
    </row>
    <row r="669" spans="6:6" x14ac:dyDescent="0.2">
      <c r="F669" s="22"/>
    </row>
    <row r="670" spans="6:6" x14ac:dyDescent="0.2">
      <c r="F670" s="22"/>
    </row>
    <row r="671" spans="6:6" x14ac:dyDescent="0.2">
      <c r="F671" s="22"/>
    </row>
    <row r="672" spans="6:6" x14ac:dyDescent="0.2">
      <c r="F672" s="22"/>
    </row>
    <row r="673" spans="6:6" x14ac:dyDescent="0.2">
      <c r="F673" s="22"/>
    </row>
    <row r="674" spans="6:6" x14ac:dyDescent="0.2">
      <c r="F674" s="22"/>
    </row>
    <row r="675" spans="6:6" x14ac:dyDescent="0.2">
      <c r="F675" s="22"/>
    </row>
    <row r="676" spans="6:6" x14ac:dyDescent="0.2">
      <c r="F676" s="22"/>
    </row>
    <row r="677" spans="6:6" x14ac:dyDescent="0.2">
      <c r="F677" s="22"/>
    </row>
    <row r="678" spans="6:6" x14ac:dyDescent="0.2">
      <c r="F678" s="22"/>
    </row>
    <row r="679" spans="6:6" x14ac:dyDescent="0.2">
      <c r="F679" s="22"/>
    </row>
    <row r="680" spans="6:6" x14ac:dyDescent="0.2">
      <c r="F680" s="22"/>
    </row>
    <row r="681" spans="6:6" x14ac:dyDescent="0.2">
      <c r="F681" s="22"/>
    </row>
    <row r="682" spans="6:6" x14ac:dyDescent="0.2">
      <c r="F682" s="22"/>
    </row>
    <row r="683" spans="6:6" x14ac:dyDescent="0.2">
      <c r="F683" s="22"/>
    </row>
    <row r="684" spans="6:6" x14ac:dyDescent="0.2">
      <c r="F684" s="22"/>
    </row>
    <row r="685" spans="6:6" x14ac:dyDescent="0.2">
      <c r="F685" s="22"/>
    </row>
    <row r="686" spans="6:6" x14ac:dyDescent="0.2">
      <c r="F686" s="22"/>
    </row>
    <row r="687" spans="6:6" x14ac:dyDescent="0.2">
      <c r="F687" s="22"/>
    </row>
    <row r="688" spans="6:6" x14ac:dyDescent="0.2">
      <c r="F688" s="22"/>
    </row>
    <row r="689" spans="6:6" x14ac:dyDescent="0.2">
      <c r="F689" s="22"/>
    </row>
    <row r="690" spans="6:6" x14ac:dyDescent="0.2">
      <c r="F690" s="22"/>
    </row>
    <row r="691" spans="6:6" x14ac:dyDescent="0.2">
      <c r="F691" s="22"/>
    </row>
    <row r="692" spans="6:6" x14ac:dyDescent="0.2">
      <c r="F692" s="22"/>
    </row>
    <row r="693" spans="6:6" x14ac:dyDescent="0.2">
      <c r="F693" s="22"/>
    </row>
    <row r="694" spans="6:6" x14ac:dyDescent="0.2">
      <c r="F694" s="22"/>
    </row>
    <row r="695" spans="6:6" x14ac:dyDescent="0.2">
      <c r="F695" s="22"/>
    </row>
    <row r="696" spans="6:6" x14ac:dyDescent="0.2">
      <c r="F696" s="22"/>
    </row>
    <row r="697" spans="6:6" x14ac:dyDescent="0.2">
      <c r="F697" s="22"/>
    </row>
    <row r="698" spans="6:6" x14ac:dyDescent="0.2">
      <c r="F698" s="22"/>
    </row>
    <row r="699" spans="6:6" x14ac:dyDescent="0.2">
      <c r="F699" s="22"/>
    </row>
    <row r="700" spans="6:6" x14ac:dyDescent="0.2">
      <c r="F700" s="22"/>
    </row>
    <row r="701" spans="6:6" x14ac:dyDescent="0.2">
      <c r="F701" s="22"/>
    </row>
    <row r="702" spans="6:6" x14ac:dyDescent="0.2">
      <c r="F702" s="22"/>
    </row>
    <row r="703" spans="6:6" x14ac:dyDescent="0.2">
      <c r="F703" s="22"/>
    </row>
    <row r="704" spans="6:6" x14ac:dyDescent="0.2">
      <c r="F704" s="22"/>
    </row>
    <row r="705" spans="6:6" x14ac:dyDescent="0.2">
      <c r="F705" s="22"/>
    </row>
    <row r="706" spans="6:6" x14ac:dyDescent="0.2">
      <c r="F706" s="22"/>
    </row>
    <row r="707" spans="6:6" x14ac:dyDescent="0.2">
      <c r="F707" s="22"/>
    </row>
    <row r="708" spans="6:6" x14ac:dyDescent="0.2">
      <c r="F708" s="22"/>
    </row>
    <row r="709" spans="6:6" x14ac:dyDescent="0.2">
      <c r="F709" s="22"/>
    </row>
    <row r="710" spans="6:6" x14ac:dyDescent="0.2">
      <c r="F710" s="22"/>
    </row>
    <row r="711" spans="6:6" x14ac:dyDescent="0.2">
      <c r="F711" s="22"/>
    </row>
    <row r="712" spans="6:6" x14ac:dyDescent="0.2">
      <c r="F712" s="22"/>
    </row>
    <row r="713" spans="6:6" x14ac:dyDescent="0.2">
      <c r="F713" s="22"/>
    </row>
    <row r="714" spans="6:6" x14ac:dyDescent="0.2">
      <c r="F714" s="22"/>
    </row>
    <row r="715" spans="6:6" x14ac:dyDescent="0.2">
      <c r="F715" s="22"/>
    </row>
    <row r="716" spans="6:6" x14ac:dyDescent="0.2">
      <c r="F716" s="22"/>
    </row>
    <row r="717" spans="6:6" x14ac:dyDescent="0.2">
      <c r="F717" s="22"/>
    </row>
    <row r="718" spans="6:6" x14ac:dyDescent="0.2">
      <c r="F718" s="22"/>
    </row>
    <row r="719" spans="6:6" x14ac:dyDescent="0.2">
      <c r="F719" s="22"/>
    </row>
    <row r="720" spans="6:6" x14ac:dyDescent="0.2">
      <c r="F720" s="22"/>
    </row>
    <row r="721" spans="6:6" x14ac:dyDescent="0.2">
      <c r="F721" s="22"/>
    </row>
    <row r="722" spans="6:6" x14ac:dyDescent="0.2">
      <c r="F722" s="22"/>
    </row>
    <row r="723" spans="6:6" x14ac:dyDescent="0.2">
      <c r="F723" s="22"/>
    </row>
    <row r="724" spans="6:6" x14ac:dyDescent="0.2">
      <c r="F724" s="22"/>
    </row>
    <row r="725" spans="6:6" x14ac:dyDescent="0.2">
      <c r="F725" s="22"/>
    </row>
    <row r="726" spans="6:6" x14ac:dyDescent="0.2">
      <c r="F726" s="22"/>
    </row>
    <row r="727" spans="6:6" x14ac:dyDescent="0.2">
      <c r="F727" s="22"/>
    </row>
    <row r="728" spans="6:6" x14ac:dyDescent="0.2">
      <c r="F728" s="22"/>
    </row>
    <row r="729" spans="6:6" x14ac:dyDescent="0.2">
      <c r="F729" s="22"/>
    </row>
    <row r="730" spans="6:6" x14ac:dyDescent="0.2">
      <c r="F730" s="22"/>
    </row>
    <row r="731" spans="6:6" x14ac:dyDescent="0.2">
      <c r="F731" s="22"/>
    </row>
    <row r="732" spans="6:6" x14ac:dyDescent="0.2">
      <c r="F732" s="22"/>
    </row>
    <row r="733" spans="6:6" x14ac:dyDescent="0.2">
      <c r="F733" s="22"/>
    </row>
    <row r="734" spans="6:6" x14ac:dyDescent="0.2">
      <c r="F734" s="22"/>
    </row>
    <row r="735" spans="6:6" x14ac:dyDescent="0.2">
      <c r="F735" s="22"/>
    </row>
    <row r="736" spans="6:6" x14ac:dyDescent="0.2">
      <c r="F736" s="22"/>
    </row>
    <row r="737" spans="6:6" x14ac:dyDescent="0.2">
      <c r="F737" s="22"/>
    </row>
    <row r="738" spans="6:6" x14ac:dyDescent="0.2">
      <c r="F738" s="22"/>
    </row>
    <row r="739" spans="6:6" x14ac:dyDescent="0.2">
      <c r="F739" s="22"/>
    </row>
    <row r="740" spans="6:6" x14ac:dyDescent="0.2">
      <c r="F740" s="22"/>
    </row>
    <row r="741" spans="6:6" x14ac:dyDescent="0.2">
      <c r="F741" s="22"/>
    </row>
    <row r="742" spans="6:6" x14ac:dyDescent="0.2">
      <c r="F742" s="22"/>
    </row>
    <row r="743" spans="6:6" x14ac:dyDescent="0.2">
      <c r="F743" s="22"/>
    </row>
    <row r="744" spans="6:6" x14ac:dyDescent="0.2">
      <c r="F744" s="22"/>
    </row>
    <row r="745" spans="6:6" x14ac:dyDescent="0.2">
      <c r="F745" s="22"/>
    </row>
    <row r="746" spans="6:6" x14ac:dyDescent="0.2">
      <c r="F746" s="22"/>
    </row>
    <row r="747" spans="6:6" x14ac:dyDescent="0.2">
      <c r="F747" s="22"/>
    </row>
    <row r="748" spans="6:6" x14ac:dyDescent="0.2">
      <c r="F748" s="22"/>
    </row>
    <row r="749" spans="6:6" x14ac:dyDescent="0.2">
      <c r="F749" s="22"/>
    </row>
    <row r="750" spans="6:6" x14ac:dyDescent="0.2">
      <c r="F750" s="22"/>
    </row>
    <row r="751" spans="6:6" x14ac:dyDescent="0.2">
      <c r="F751" s="22"/>
    </row>
    <row r="752" spans="6:6" x14ac:dyDescent="0.2">
      <c r="F752" s="22"/>
    </row>
    <row r="753" spans="6:6" x14ac:dyDescent="0.2">
      <c r="F753" s="22"/>
    </row>
    <row r="754" spans="6:6" x14ac:dyDescent="0.2">
      <c r="F754" s="22"/>
    </row>
    <row r="755" spans="6:6" x14ac:dyDescent="0.2">
      <c r="F755" s="22"/>
    </row>
    <row r="756" spans="6:6" x14ac:dyDescent="0.2">
      <c r="F756" s="22"/>
    </row>
    <row r="757" spans="6:6" x14ac:dyDescent="0.2">
      <c r="F757" s="22"/>
    </row>
    <row r="758" spans="6:6" x14ac:dyDescent="0.2">
      <c r="F758" s="22"/>
    </row>
    <row r="759" spans="6:6" x14ac:dyDescent="0.2">
      <c r="F759" s="22"/>
    </row>
    <row r="760" spans="6:6" x14ac:dyDescent="0.2">
      <c r="F760" s="22"/>
    </row>
    <row r="761" spans="6:6" x14ac:dyDescent="0.2">
      <c r="F761" s="22"/>
    </row>
    <row r="762" spans="6:6" x14ac:dyDescent="0.2">
      <c r="F762" s="22"/>
    </row>
    <row r="763" spans="6:6" x14ac:dyDescent="0.2">
      <c r="F763" s="22"/>
    </row>
    <row r="764" spans="6:6" x14ac:dyDescent="0.2">
      <c r="F764" s="22"/>
    </row>
    <row r="765" spans="6:6" x14ac:dyDescent="0.2">
      <c r="F765" s="22"/>
    </row>
    <row r="766" spans="6:6" x14ac:dyDescent="0.2">
      <c r="F766" s="22"/>
    </row>
    <row r="767" spans="6:6" x14ac:dyDescent="0.2">
      <c r="F767" s="22"/>
    </row>
    <row r="768" spans="6:6" x14ac:dyDescent="0.2">
      <c r="F768" s="22"/>
    </row>
    <row r="769" spans="6:6" x14ac:dyDescent="0.2">
      <c r="F769" s="22"/>
    </row>
    <row r="770" spans="6:6" x14ac:dyDescent="0.2">
      <c r="F770" s="22"/>
    </row>
    <row r="771" spans="6:6" x14ac:dyDescent="0.2">
      <c r="F771" s="22"/>
    </row>
    <row r="772" spans="6:6" x14ac:dyDescent="0.2">
      <c r="F772" s="22"/>
    </row>
    <row r="773" spans="6:6" x14ac:dyDescent="0.2">
      <c r="F773" s="22"/>
    </row>
    <row r="774" spans="6:6" x14ac:dyDescent="0.2">
      <c r="F774" s="22"/>
    </row>
    <row r="775" spans="6:6" x14ac:dyDescent="0.2">
      <c r="F775" s="22"/>
    </row>
    <row r="776" spans="6:6" x14ac:dyDescent="0.2">
      <c r="F776" s="22"/>
    </row>
    <row r="777" spans="6:6" x14ac:dyDescent="0.2">
      <c r="F777" s="22"/>
    </row>
    <row r="778" spans="6:6" x14ac:dyDescent="0.2">
      <c r="F778" s="22"/>
    </row>
    <row r="779" spans="6:6" x14ac:dyDescent="0.2">
      <c r="F779" s="22"/>
    </row>
    <row r="780" spans="6:6" x14ac:dyDescent="0.2">
      <c r="F780" s="22"/>
    </row>
    <row r="781" spans="6:6" x14ac:dyDescent="0.2">
      <c r="F781" s="22"/>
    </row>
    <row r="782" spans="6:6" x14ac:dyDescent="0.2">
      <c r="F782" s="22"/>
    </row>
    <row r="783" spans="6:6" x14ac:dyDescent="0.2">
      <c r="F783" s="22"/>
    </row>
    <row r="784" spans="6:6" x14ac:dyDescent="0.2">
      <c r="F784" s="22"/>
    </row>
    <row r="785" spans="6:6" x14ac:dyDescent="0.2">
      <c r="F785" s="22"/>
    </row>
    <row r="786" spans="6:6" x14ac:dyDescent="0.2">
      <c r="F786" s="22"/>
    </row>
    <row r="787" spans="6:6" x14ac:dyDescent="0.2">
      <c r="F787" s="22"/>
    </row>
    <row r="788" spans="6:6" x14ac:dyDescent="0.2">
      <c r="F788" s="22"/>
    </row>
    <row r="789" spans="6:6" x14ac:dyDescent="0.2">
      <c r="F789" s="22"/>
    </row>
    <row r="790" spans="6:6" x14ac:dyDescent="0.2">
      <c r="F790" s="22"/>
    </row>
    <row r="791" spans="6:6" x14ac:dyDescent="0.2">
      <c r="F791" s="22"/>
    </row>
    <row r="792" spans="6:6" x14ac:dyDescent="0.2">
      <c r="F792" s="22"/>
    </row>
    <row r="793" spans="6:6" x14ac:dyDescent="0.2">
      <c r="F793" s="22"/>
    </row>
    <row r="794" spans="6:6" x14ac:dyDescent="0.2">
      <c r="F794" s="22"/>
    </row>
    <row r="795" spans="6:6" x14ac:dyDescent="0.2">
      <c r="F795" s="22"/>
    </row>
    <row r="796" spans="6:6" x14ac:dyDescent="0.2">
      <c r="F796" s="22"/>
    </row>
    <row r="797" spans="6:6" x14ac:dyDescent="0.2">
      <c r="F797" s="22"/>
    </row>
    <row r="798" spans="6:6" x14ac:dyDescent="0.2">
      <c r="F798" s="22"/>
    </row>
    <row r="799" spans="6:6" x14ac:dyDescent="0.2">
      <c r="F799" s="22"/>
    </row>
    <row r="800" spans="6:6" x14ac:dyDescent="0.2">
      <c r="F800" s="22"/>
    </row>
    <row r="801" spans="6:6" x14ac:dyDescent="0.2">
      <c r="F801" s="22"/>
    </row>
    <row r="802" spans="6:6" x14ac:dyDescent="0.2">
      <c r="F802" s="22"/>
    </row>
    <row r="803" spans="6:6" x14ac:dyDescent="0.2">
      <c r="F803" s="22"/>
    </row>
    <row r="804" spans="6:6" x14ac:dyDescent="0.2">
      <c r="F804" s="22"/>
    </row>
    <row r="805" spans="6:6" x14ac:dyDescent="0.2">
      <c r="F805" s="22"/>
    </row>
    <row r="806" spans="6:6" x14ac:dyDescent="0.2">
      <c r="F806" s="22"/>
    </row>
    <row r="807" spans="6:6" x14ac:dyDescent="0.2">
      <c r="F807" s="22"/>
    </row>
    <row r="808" spans="6:6" x14ac:dyDescent="0.2">
      <c r="F808" s="22"/>
    </row>
    <row r="809" spans="6:6" x14ac:dyDescent="0.2">
      <c r="F809" s="22"/>
    </row>
    <row r="810" spans="6:6" x14ac:dyDescent="0.2">
      <c r="F810" s="22"/>
    </row>
    <row r="811" spans="6:6" x14ac:dyDescent="0.2">
      <c r="F811" s="22"/>
    </row>
    <row r="812" spans="6:6" x14ac:dyDescent="0.2">
      <c r="F812" s="22"/>
    </row>
    <row r="813" spans="6:6" x14ac:dyDescent="0.2">
      <c r="F813" s="22"/>
    </row>
    <row r="814" spans="6:6" x14ac:dyDescent="0.2">
      <c r="F814" s="22"/>
    </row>
    <row r="815" spans="6:6" x14ac:dyDescent="0.2">
      <c r="F815" s="22"/>
    </row>
    <row r="816" spans="6:6" x14ac:dyDescent="0.2">
      <c r="F816" s="22"/>
    </row>
    <row r="817" spans="6:6" x14ac:dyDescent="0.2">
      <c r="F817" s="22"/>
    </row>
    <row r="818" spans="6:6" x14ac:dyDescent="0.2">
      <c r="F818" s="22"/>
    </row>
    <row r="819" spans="6:6" x14ac:dyDescent="0.2">
      <c r="F819" s="22"/>
    </row>
    <row r="820" spans="6:6" x14ac:dyDescent="0.2">
      <c r="F820" s="22"/>
    </row>
    <row r="821" spans="6:6" x14ac:dyDescent="0.2">
      <c r="F821" s="22"/>
    </row>
    <row r="822" spans="6:6" x14ac:dyDescent="0.2">
      <c r="F822" s="22"/>
    </row>
    <row r="823" spans="6:6" x14ac:dyDescent="0.2">
      <c r="F823" s="22"/>
    </row>
    <row r="824" spans="6:6" x14ac:dyDescent="0.2">
      <c r="F824" s="22"/>
    </row>
    <row r="825" spans="6:6" x14ac:dyDescent="0.2">
      <c r="F825" s="22"/>
    </row>
    <row r="826" spans="6:6" x14ac:dyDescent="0.2">
      <c r="F826" s="22"/>
    </row>
    <row r="827" spans="6:6" x14ac:dyDescent="0.2">
      <c r="F827" s="22"/>
    </row>
    <row r="828" spans="6:6" x14ac:dyDescent="0.2">
      <c r="F828" s="22"/>
    </row>
    <row r="829" spans="6:6" x14ac:dyDescent="0.2">
      <c r="F829" s="22"/>
    </row>
    <row r="830" spans="6:6" x14ac:dyDescent="0.2">
      <c r="F830" s="22"/>
    </row>
    <row r="831" spans="6:6" x14ac:dyDescent="0.2">
      <c r="F831" s="22"/>
    </row>
    <row r="832" spans="6:6" x14ac:dyDescent="0.2">
      <c r="F832" s="22"/>
    </row>
    <row r="833" spans="6:6" x14ac:dyDescent="0.2">
      <c r="F833" s="22"/>
    </row>
    <row r="834" spans="6:6" x14ac:dyDescent="0.2">
      <c r="F834" s="22"/>
    </row>
    <row r="835" spans="6:6" x14ac:dyDescent="0.2">
      <c r="F835" s="22"/>
    </row>
    <row r="836" spans="6:6" x14ac:dyDescent="0.2">
      <c r="F836" s="22"/>
    </row>
    <row r="837" spans="6:6" x14ac:dyDescent="0.2">
      <c r="F837" s="22"/>
    </row>
    <row r="838" spans="6:6" x14ac:dyDescent="0.2">
      <c r="F838" s="22"/>
    </row>
    <row r="839" spans="6:6" x14ac:dyDescent="0.2">
      <c r="F839" s="22"/>
    </row>
    <row r="840" spans="6:6" x14ac:dyDescent="0.2">
      <c r="F840" s="22"/>
    </row>
    <row r="841" spans="6:6" x14ac:dyDescent="0.2">
      <c r="F841" s="22"/>
    </row>
    <row r="842" spans="6:6" x14ac:dyDescent="0.2">
      <c r="F842" s="22"/>
    </row>
    <row r="843" spans="6:6" x14ac:dyDescent="0.2">
      <c r="F843" s="22"/>
    </row>
    <row r="844" spans="6:6" x14ac:dyDescent="0.2">
      <c r="F844" s="22"/>
    </row>
    <row r="845" spans="6:6" x14ac:dyDescent="0.2">
      <c r="F845" s="22"/>
    </row>
    <row r="846" spans="6:6" x14ac:dyDescent="0.2">
      <c r="F846" s="22"/>
    </row>
    <row r="847" spans="6:6" x14ac:dyDescent="0.2">
      <c r="F847" s="22"/>
    </row>
    <row r="848" spans="6:6" x14ac:dyDescent="0.2">
      <c r="F848" s="22"/>
    </row>
    <row r="849" spans="6:6" x14ac:dyDescent="0.2">
      <c r="F849" s="22"/>
    </row>
    <row r="850" spans="6:6" x14ac:dyDescent="0.2">
      <c r="F850" s="22"/>
    </row>
    <row r="851" spans="6:6" x14ac:dyDescent="0.2">
      <c r="F851" s="22"/>
    </row>
    <row r="852" spans="6:6" x14ac:dyDescent="0.2">
      <c r="F852" s="22"/>
    </row>
    <row r="853" spans="6:6" x14ac:dyDescent="0.2">
      <c r="F853" s="22"/>
    </row>
    <row r="854" spans="6:6" x14ac:dyDescent="0.2">
      <c r="F854" s="22"/>
    </row>
    <row r="855" spans="6:6" x14ac:dyDescent="0.2">
      <c r="F855" s="22"/>
    </row>
    <row r="856" spans="6:6" x14ac:dyDescent="0.2">
      <c r="F856" s="22"/>
    </row>
    <row r="857" spans="6:6" x14ac:dyDescent="0.2">
      <c r="F857" s="22"/>
    </row>
    <row r="858" spans="6:6" x14ac:dyDescent="0.2">
      <c r="F858" s="22"/>
    </row>
    <row r="859" spans="6:6" x14ac:dyDescent="0.2">
      <c r="F859" s="22"/>
    </row>
    <row r="860" spans="6:6" x14ac:dyDescent="0.2">
      <c r="F860" s="22"/>
    </row>
    <row r="861" spans="6:6" x14ac:dyDescent="0.2">
      <c r="F861" s="22"/>
    </row>
    <row r="862" spans="6:6" x14ac:dyDescent="0.2">
      <c r="F862" s="22"/>
    </row>
    <row r="863" spans="6:6" x14ac:dyDescent="0.2">
      <c r="F863" s="22"/>
    </row>
    <row r="864" spans="6:6" x14ac:dyDescent="0.2">
      <c r="F864" s="22"/>
    </row>
    <row r="865" spans="6:6" x14ac:dyDescent="0.2">
      <c r="F865" s="22"/>
    </row>
    <row r="866" spans="6:6" x14ac:dyDescent="0.2">
      <c r="F866" s="22"/>
    </row>
    <row r="867" spans="6:6" x14ac:dyDescent="0.2">
      <c r="F867" s="22"/>
    </row>
    <row r="868" spans="6:6" x14ac:dyDescent="0.2">
      <c r="F868" s="22"/>
    </row>
    <row r="869" spans="6:6" x14ac:dyDescent="0.2">
      <c r="F869" s="22"/>
    </row>
    <row r="870" spans="6:6" x14ac:dyDescent="0.2">
      <c r="F870" s="22"/>
    </row>
    <row r="871" spans="6:6" x14ac:dyDescent="0.2">
      <c r="F871" s="22"/>
    </row>
    <row r="872" spans="6:6" x14ac:dyDescent="0.2">
      <c r="F872" s="22"/>
    </row>
    <row r="873" spans="6:6" x14ac:dyDescent="0.2">
      <c r="F873" s="22"/>
    </row>
    <row r="874" spans="6:6" x14ac:dyDescent="0.2">
      <c r="F874" s="22"/>
    </row>
    <row r="875" spans="6:6" x14ac:dyDescent="0.2">
      <c r="F875" s="22"/>
    </row>
    <row r="876" spans="6:6" x14ac:dyDescent="0.2">
      <c r="F876" s="22"/>
    </row>
    <row r="877" spans="6:6" x14ac:dyDescent="0.2">
      <c r="F877" s="22"/>
    </row>
    <row r="878" spans="6:6" x14ac:dyDescent="0.2">
      <c r="F878" s="22"/>
    </row>
    <row r="879" spans="6:6" x14ac:dyDescent="0.2">
      <c r="F879" s="22"/>
    </row>
    <row r="880" spans="6:6" x14ac:dyDescent="0.2">
      <c r="F880" s="22"/>
    </row>
    <row r="881" spans="6:6" x14ac:dyDescent="0.2">
      <c r="F881" s="22"/>
    </row>
    <row r="882" spans="6:6" x14ac:dyDescent="0.2">
      <c r="F882" s="22"/>
    </row>
    <row r="883" spans="6:6" x14ac:dyDescent="0.2">
      <c r="F883" s="22"/>
    </row>
    <row r="884" spans="6:6" x14ac:dyDescent="0.2">
      <c r="F884" s="22"/>
    </row>
    <row r="885" spans="6:6" x14ac:dyDescent="0.2">
      <c r="F885" s="22"/>
    </row>
    <row r="886" spans="6:6" x14ac:dyDescent="0.2">
      <c r="F886" s="22"/>
    </row>
    <row r="887" spans="6:6" x14ac:dyDescent="0.2">
      <c r="F887" s="22"/>
    </row>
    <row r="888" spans="6:6" x14ac:dyDescent="0.2">
      <c r="F888" s="22"/>
    </row>
    <row r="889" spans="6:6" x14ac:dyDescent="0.2">
      <c r="F889" s="22"/>
    </row>
    <row r="890" spans="6:6" x14ac:dyDescent="0.2">
      <c r="F890" s="22"/>
    </row>
    <row r="891" spans="6:6" x14ac:dyDescent="0.2">
      <c r="F891" s="22"/>
    </row>
    <row r="892" spans="6:6" x14ac:dyDescent="0.2">
      <c r="F892" s="22"/>
    </row>
    <row r="893" spans="6:6" x14ac:dyDescent="0.2">
      <c r="F893" s="22"/>
    </row>
    <row r="894" spans="6:6" x14ac:dyDescent="0.2">
      <c r="F894" s="22"/>
    </row>
    <row r="895" spans="6:6" x14ac:dyDescent="0.2">
      <c r="F895" s="22"/>
    </row>
    <row r="896" spans="6:6" x14ac:dyDescent="0.2">
      <c r="F896" s="22"/>
    </row>
    <row r="897" spans="6:6" x14ac:dyDescent="0.2">
      <c r="F897" s="22"/>
    </row>
    <row r="898" spans="6:6" x14ac:dyDescent="0.2">
      <c r="F898" s="22"/>
    </row>
    <row r="899" spans="6:6" x14ac:dyDescent="0.2">
      <c r="F899" s="22"/>
    </row>
    <row r="900" spans="6:6" x14ac:dyDescent="0.2">
      <c r="F900" s="22"/>
    </row>
    <row r="901" spans="6:6" x14ac:dyDescent="0.2">
      <c r="F901" s="22"/>
    </row>
    <row r="902" spans="6:6" x14ac:dyDescent="0.2">
      <c r="F902" s="22"/>
    </row>
    <row r="903" spans="6:6" x14ac:dyDescent="0.2">
      <c r="F903" s="22"/>
    </row>
    <row r="904" spans="6:6" x14ac:dyDescent="0.2">
      <c r="F904" s="22"/>
    </row>
    <row r="905" spans="6:6" x14ac:dyDescent="0.2">
      <c r="F905" s="22"/>
    </row>
    <row r="906" spans="6:6" x14ac:dyDescent="0.2">
      <c r="F906" s="22"/>
    </row>
    <row r="907" spans="6:6" x14ac:dyDescent="0.2">
      <c r="F907" s="22"/>
    </row>
    <row r="908" spans="6:6" x14ac:dyDescent="0.2">
      <c r="F908" s="22"/>
    </row>
    <row r="909" spans="6:6" x14ac:dyDescent="0.2">
      <c r="F909" s="22"/>
    </row>
    <row r="910" spans="6:6" x14ac:dyDescent="0.2">
      <c r="F910" s="22"/>
    </row>
    <row r="911" spans="6:6" x14ac:dyDescent="0.2">
      <c r="F911" s="22"/>
    </row>
    <row r="912" spans="6:6" x14ac:dyDescent="0.2">
      <c r="F912" s="22"/>
    </row>
    <row r="913" spans="6:6" x14ac:dyDescent="0.2">
      <c r="F913" s="22"/>
    </row>
    <row r="914" spans="6:6" x14ac:dyDescent="0.2">
      <c r="F914" s="22"/>
    </row>
    <row r="915" spans="6:6" x14ac:dyDescent="0.2">
      <c r="F915" s="22"/>
    </row>
    <row r="916" spans="6:6" x14ac:dyDescent="0.2">
      <c r="F916" s="22"/>
    </row>
    <row r="917" spans="6:6" x14ac:dyDescent="0.2">
      <c r="F917" s="22"/>
    </row>
    <row r="918" spans="6:6" x14ac:dyDescent="0.2">
      <c r="F918" s="22"/>
    </row>
    <row r="919" spans="6:6" x14ac:dyDescent="0.2">
      <c r="F919" s="22"/>
    </row>
    <row r="920" spans="6:6" x14ac:dyDescent="0.2">
      <c r="F920" s="22"/>
    </row>
    <row r="921" spans="6:6" x14ac:dyDescent="0.2">
      <c r="F921" s="22"/>
    </row>
    <row r="922" spans="6:6" x14ac:dyDescent="0.2">
      <c r="F922" s="22"/>
    </row>
    <row r="923" spans="6:6" x14ac:dyDescent="0.2">
      <c r="F923" s="22"/>
    </row>
    <row r="924" spans="6:6" x14ac:dyDescent="0.2">
      <c r="F924" s="22"/>
    </row>
    <row r="925" spans="6:6" x14ac:dyDescent="0.2">
      <c r="F925" s="22"/>
    </row>
    <row r="926" spans="6:6" x14ac:dyDescent="0.2">
      <c r="F926" s="22"/>
    </row>
    <row r="927" spans="6:6" x14ac:dyDescent="0.2">
      <c r="F927" s="22"/>
    </row>
    <row r="928" spans="6:6" x14ac:dyDescent="0.2">
      <c r="F928" s="22"/>
    </row>
    <row r="929" spans="6:6" x14ac:dyDescent="0.2">
      <c r="F929" s="22"/>
    </row>
    <row r="930" spans="6:6" x14ac:dyDescent="0.2">
      <c r="F930" s="22"/>
    </row>
    <row r="931" spans="6:6" x14ac:dyDescent="0.2">
      <c r="F931" s="22"/>
    </row>
    <row r="932" spans="6:6" x14ac:dyDescent="0.2">
      <c r="F932" s="22"/>
    </row>
    <row r="933" spans="6:6" x14ac:dyDescent="0.2">
      <c r="F933" s="22"/>
    </row>
    <row r="934" spans="6:6" x14ac:dyDescent="0.2">
      <c r="F934" s="22"/>
    </row>
    <row r="935" spans="6:6" x14ac:dyDescent="0.2">
      <c r="F935" s="22"/>
    </row>
    <row r="936" spans="6:6" x14ac:dyDescent="0.2">
      <c r="F936" s="22"/>
    </row>
    <row r="937" spans="6:6" x14ac:dyDescent="0.2">
      <c r="F937" s="22"/>
    </row>
    <row r="938" spans="6:6" x14ac:dyDescent="0.2">
      <c r="F938" s="22"/>
    </row>
    <row r="939" spans="6:6" x14ac:dyDescent="0.2">
      <c r="F939" s="22"/>
    </row>
    <row r="940" spans="6:6" x14ac:dyDescent="0.2">
      <c r="F940" s="22"/>
    </row>
    <row r="941" spans="6:6" x14ac:dyDescent="0.2">
      <c r="F941" s="22"/>
    </row>
    <row r="942" spans="6:6" x14ac:dyDescent="0.2">
      <c r="F942" s="22"/>
    </row>
    <row r="943" spans="6:6" x14ac:dyDescent="0.2">
      <c r="F943" s="22"/>
    </row>
    <row r="944" spans="6:6" x14ac:dyDescent="0.2">
      <c r="F944" s="22"/>
    </row>
    <row r="945" spans="6:6" x14ac:dyDescent="0.2">
      <c r="F945" s="22"/>
    </row>
    <row r="946" spans="6:6" x14ac:dyDescent="0.2">
      <c r="F946" s="22"/>
    </row>
    <row r="947" spans="6:6" x14ac:dyDescent="0.2">
      <c r="F947" s="22"/>
    </row>
    <row r="948" spans="6:6" x14ac:dyDescent="0.2">
      <c r="F948" s="22"/>
    </row>
    <row r="949" spans="6:6" x14ac:dyDescent="0.2">
      <c r="F949" s="22"/>
    </row>
    <row r="950" spans="6:6" x14ac:dyDescent="0.2">
      <c r="F950" s="22"/>
    </row>
    <row r="951" spans="6:6" x14ac:dyDescent="0.2">
      <c r="F951" s="22"/>
    </row>
    <row r="952" spans="6:6" x14ac:dyDescent="0.2">
      <c r="F952" s="22"/>
    </row>
    <row r="953" spans="6:6" x14ac:dyDescent="0.2">
      <c r="F953" s="22"/>
    </row>
    <row r="954" spans="6:6" x14ac:dyDescent="0.2">
      <c r="F954" s="22"/>
    </row>
    <row r="955" spans="6:6" x14ac:dyDescent="0.2">
      <c r="F955" s="22"/>
    </row>
    <row r="956" spans="6:6" x14ac:dyDescent="0.2">
      <c r="F956" s="22"/>
    </row>
    <row r="957" spans="6:6" x14ac:dyDescent="0.2">
      <c r="F957" s="22"/>
    </row>
    <row r="958" spans="6:6" x14ac:dyDescent="0.2">
      <c r="F958" s="22"/>
    </row>
    <row r="959" spans="6:6" x14ac:dyDescent="0.2">
      <c r="F959" s="22"/>
    </row>
    <row r="960" spans="6:6" x14ac:dyDescent="0.2">
      <c r="F960" s="22"/>
    </row>
    <row r="961" spans="6:6" x14ac:dyDescent="0.2">
      <c r="F961" s="22"/>
    </row>
    <row r="962" spans="6:6" x14ac:dyDescent="0.2">
      <c r="F962" s="22"/>
    </row>
    <row r="963" spans="6:6" x14ac:dyDescent="0.2">
      <c r="F963" s="22"/>
    </row>
    <row r="964" spans="6:6" x14ac:dyDescent="0.2">
      <c r="F964" s="22"/>
    </row>
    <row r="965" spans="6:6" x14ac:dyDescent="0.2">
      <c r="F965" s="22"/>
    </row>
    <row r="966" spans="6:6" x14ac:dyDescent="0.2">
      <c r="F966" s="22"/>
    </row>
    <row r="967" spans="6:6" x14ac:dyDescent="0.2">
      <c r="F967" s="22"/>
    </row>
    <row r="968" spans="6:6" x14ac:dyDescent="0.2">
      <c r="F968" s="22"/>
    </row>
    <row r="969" spans="6:6" x14ac:dyDescent="0.2">
      <c r="F969" s="22"/>
    </row>
    <row r="970" spans="6:6" x14ac:dyDescent="0.2">
      <c r="F970" s="22"/>
    </row>
    <row r="971" spans="6:6" x14ac:dyDescent="0.2">
      <c r="F971" s="22"/>
    </row>
    <row r="972" spans="6:6" x14ac:dyDescent="0.2">
      <c r="F972" s="22"/>
    </row>
    <row r="973" spans="6:6" x14ac:dyDescent="0.2">
      <c r="F973" s="22"/>
    </row>
    <row r="974" spans="6:6" x14ac:dyDescent="0.2">
      <c r="F974" s="22"/>
    </row>
    <row r="975" spans="6:6" x14ac:dyDescent="0.2">
      <c r="F975" s="22"/>
    </row>
    <row r="976" spans="6:6" x14ac:dyDescent="0.2">
      <c r="F976" s="22"/>
    </row>
    <row r="977" spans="6:6" x14ac:dyDescent="0.2">
      <c r="F977" s="22"/>
    </row>
    <row r="978" spans="6:6" x14ac:dyDescent="0.2">
      <c r="F978" s="22"/>
    </row>
    <row r="979" spans="6:6" x14ac:dyDescent="0.2">
      <c r="F979" s="22"/>
    </row>
    <row r="980" spans="6:6" x14ac:dyDescent="0.2">
      <c r="F980" s="22"/>
    </row>
    <row r="981" spans="6:6" x14ac:dyDescent="0.2">
      <c r="F981" s="22"/>
    </row>
    <row r="982" spans="6:6" x14ac:dyDescent="0.2">
      <c r="F982" s="22"/>
    </row>
    <row r="983" spans="6:6" x14ac:dyDescent="0.2">
      <c r="F983" s="22"/>
    </row>
    <row r="984" spans="6:6" x14ac:dyDescent="0.2">
      <c r="F984" s="22"/>
    </row>
    <row r="985" spans="6:6" x14ac:dyDescent="0.2">
      <c r="F985" s="22"/>
    </row>
    <row r="986" spans="6:6" x14ac:dyDescent="0.2">
      <c r="F986" s="22"/>
    </row>
    <row r="987" spans="6:6" x14ac:dyDescent="0.2">
      <c r="F987" s="22"/>
    </row>
    <row r="988" spans="6:6" x14ac:dyDescent="0.2">
      <c r="F988" s="22"/>
    </row>
    <row r="989" spans="6:6" x14ac:dyDescent="0.2">
      <c r="F989" s="22"/>
    </row>
    <row r="990" spans="6:6" x14ac:dyDescent="0.2">
      <c r="F990" s="22"/>
    </row>
    <row r="991" spans="6:6" x14ac:dyDescent="0.2">
      <c r="F991" s="22"/>
    </row>
    <row r="992" spans="6:6" x14ac:dyDescent="0.2">
      <c r="F992" s="22"/>
    </row>
    <row r="993" spans="6:6" x14ac:dyDescent="0.2">
      <c r="F993" s="22"/>
    </row>
    <row r="994" spans="6:6" x14ac:dyDescent="0.2">
      <c r="F994" s="22"/>
    </row>
    <row r="995" spans="6:6" x14ac:dyDescent="0.2">
      <c r="F995" s="22"/>
    </row>
    <row r="996" spans="6:6" x14ac:dyDescent="0.2">
      <c r="F996" s="22"/>
    </row>
    <row r="997" spans="6:6" x14ac:dyDescent="0.2">
      <c r="F997" s="22"/>
    </row>
    <row r="998" spans="6:6" x14ac:dyDescent="0.2">
      <c r="F998" s="22"/>
    </row>
    <row r="999" spans="6:6" x14ac:dyDescent="0.2">
      <c r="F999" s="22"/>
    </row>
    <row r="1000" spans="6:6" x14ac:dyDescent="0.2">
      <c r="F1000" s="22"/>
    </row>
    <row r="1001" spans="6:6" x14ac:dyDescent="0.2">
      <c r="F1001" s="22"/>
    </row>
    <row r="1002" spans="6:6" x14ac:dyDescent="0.2">
      <c r="F1002" s="22"/>
    </row>
    <row r="1003" spans="6:6" x14ac:dyDescent="0.2">
      <c r="F1003" s="22"/>
    </row>
    <row r="1004" spans="6:6" x14ac:dyDescent="0.2">
      <c r="F1004" s="22"/>
    </row>
    <row r="1005" spans="6:6" x14ac:dyDescent="0.2">
      <c r="F1005" s="22"/>
    </row>
    <row r="1006" spans="6:6" x14ac:dyDescent="0.2">
      <c r="F1006" s="22"/>
    </row>
    <row r="1007" spans="6:6" x14ac:dyDescent="0.2">
      <c r="F1007" s="22"/>
    </row>
    <row r="1008" spans="6:6" x14ac:dyDescent="0.2">
      <c r="F1008" s="22"/>
    </row>
    <row r="1009" spans="6:6" x14ac:dyDescent="0.2">
      <c r="F1009" s="22"/>
    </row>
    <row r="1010" spans="6:6" x14ac:dyDescent="0.2">
      <c r="F1010" s="22"/>
    </row>
    <row r="1011" spans="6:6" x14ac:dyDescent="0.2">
      <c r="F1011" s="22"/>
    </row>
    <row r="1012" spans="6:6" x14ac:dyDescent="0.2">
      <c r="F1012" s="22"/>
    </row>
    <row r="1013" spans="6:6" x14ac:dyDescent="0.2">
      <c r="F1013" s="22"/>
    </row>
    <row r="1014" spans="6:6" x14ac:dyDescent="0.2">
      <c r="F1014" s="22"/>
    </row>
    <row r="1015" spans="6:6" x14ac:dyDescent="0.2">
      <c r="F1015" s="22"/>
    </row>
    <row r="1016" spans="6:6" x14ac:dyDescent="0.2">
      <c r="F1016" s="22"/>
    </row>
    <row r="1017" spans="6:6" x14ac:dyDescent="0.2">
      <c r="F1017" s="22"/>
    </row>
    <row r="1018" spans="6:6" x14ac:dyDescent="0.2">
      <c r="F1018" s="22"/>
    </row>
    <row r="1019" spans="6:6" x14ac:dyDescent="0.2">
      <c r="F1019" s="22"/>
    </row>
    <row r="1020" spans="6:6" x14ac:dyDescent="0.2">
      <c r="F1020" s="22"/>
    </row>
    <row r="1021" spans="6:6" x14ac:dyDescent="0.2">
      <c r="F1021" s="22"/>
    </row>
    <row r="1022" spans="6:6" x14ac:dyDescent="0.2">
      <c r="F1022" s="22"/>
    </row>
    <row r="1023" spans="6:6" x14ac:dyDescent="0.2">
      <c r="F1023" s="22"/>
    </row>
    <row r="1024" spans="6:6" x14ac:dyDescent="0.2">
      <c r="F1024" s="22"/>
    </row>
    <row r="1025" spans="6:6" x14ac:dyDescent="0.2">
      <c r="F1025" s="22"/>
    </row>
    <row r="1026" spans="6:6" x14ac:dyDescent="0.2">
      <c r="F1026" s="22"/>
    </row>
    <row r="1027" spans="6:6" x14ac:dyDescent="0.2">
      <c r="F1027" s="22"/>
    </row>
    <row r="1028" spans="6:6" x14ac:dyDescent="0.2">
      <c r="F1028" s="22"/>
    </row>
    <row r="1029" spans="6:6" x14ac:dyDescent="0.2">
      <c r="F1029" s="22"/>
    </row>
    <row r="1030" spans="6:6" x14ac:dyDescent="0.2">
      <c r="F1030" s="22"/>
    </row>
    <row r="1031" spans="6:6" x14ac:dyDescent="0.2">
      <c r="F1031" s="22"/>
    </row>
    <row r="1032" spans="6:6" x14ac:dyDescent="0.2">
      <c r="F1032" s="22"/>
    </row>
    <row r="1033" spans="6:6" x14ac:dyDescent="0.2">
      <c r="F1033" s="22"/>
    </row>
    <row r="1034" spans="6:6" x14ac:dyDescent="0.2">
      <c r="F1034" s="22"/>
    </row>
    <row r="1035" spans="6:6" x14ac:dyDescent="0.2">
      <c r="F1035" s="22"/>
    </row>
    <row r="1036" spans="6:6" x14ac:dyDescent="0.2">
      <c r="F1036" s="22"/>
    </row>
    <row r="1037" spans="6:6" x14ac:dyDescent="0.2">
      <c r="F1037" s="22"/>
    </row>
    <row r="1038" spans="6:6" x14ac:dyDescent="0.2">
      <c r="F1038" s="22"/>
    </row>
    <row r="1039" spans="6:6" x14ac:dyDescent="0.2">
      <c r="F1039" s="22"/>
    </row>
    <row r="1040" spans="6:6" x14ac:dyDescent="0.2">
      <c r="F1040" s="22"/>
    </row>
    <row r="1041" spans="6:6" x14ac:dyDescent="0.2">
      <c r="F1041" s="22"/>
    </row>
    <row r="1042" spans="6:6" x14ac:dyDescent="0.2">
      <c r="F1042" s="22"/>
    </row>
    <row r="1043" spans="6:6" x14ac:dyDescent="0.2">
      <c r="F1043" s="22"/>
    </row>
    <row r="1044" spans="6:6" x14ac:dyDescent="0.2">
      <c r="F1044" s="22"/>
    </row>
    <row r="1045" spans="6:6" x14ac:dyDescent="0.2">
      <c r="F1045" s="22"/>
    </row>
    <row r="1046" spans="6:6" x14ac:dyDescent="0.2">
      <c r="F1046" s="22"/>
    </row>
    <row r="1047" spans="6:6" x14ac:dyDescent="0.2">
      <c r="F1047" s="22"/>
    </row>
    <row r="1048" spans="6:6" x14ac:dyDescent="0.2">
      <c r="F1048" s="22"/>
    </row>
    <row r="1049" spans="6:6" x14ac:dyDescent="0.2">
      <c r="F1049" s="22"/>
    </row>
    <row r="1050" spans="6:6" x14ac:dyDescent="0.2">
      <c r="F1050" s="22"/>
    </row>
    <row r="1051" spans="6:6" x14ac:dyDescent="0.2">
      <c r="F1051" s="22"/>
    </row>
    <row r="1052" spans="6:6" x14ac:dyDescent="0.2">
      <c r="F1052" s="22"/>
    </row>
    <row r="1053" spans="6:6" x14ac:dyDescent="0.2">
      <c r="F1053" s="22"/>
    </row>
    <row r="1054" spans="6:6" x14ac:dyDescent="0.2">
      <c r="F1054" s="22"/>
    </row>
    <row r="1055" spans="6:6" x14ac:dyDescent="0.2">
      <c r="F1055" s="22"/>
    </row>
    <row r="1056" spans="6:6" x14ac:dyDescent="0.2">
      <c r="F1056" s="22"/>
    </row>
    <row r="1057" spans="6:6" x14ac:dyDescent="0.2">
      <c r="F1057" s="22"/>
    </row>
    <row r="1058" spans="6:6" x14ac:dyDescent="0.2">
      <c r="F1058" s="22"/>
    </row>
    <row r="1059" spans="6:6" x14ac:dyDescent="0.2">
      <c r="F1059" s="22"/>
    </row>
    <row r="1060" spans="6:6" x14ac:dyDescent="0.2">
      <c r="F1060" s="22"/>
    </row>
    <row r="1061" spans="6:6" x14ac:dyDescent="0.2">
      <c r="F1061" s="22"/>
    </row>
    <row r="1062" spans="6:6" x14ac:dyDescent="0.2">
      <c r="F1062" s="22"/>
    </row>
    <row r="1063" spans="6:6" x14ac:dyDescent="0.2">
      <c r="F1063" s="22"/>
    </row>
    <row r="1064" spans="6:6" x14ac:dyDescent="0.2">
      <c r="F1064" s="22"/>
    </row>
    <row r="1065" spans="6:6" x14ac:dyDescent="0.2">
      <c r="F1065" s="22"/>
    </row>
    <row r="1066" spans="6:6" x14ac:dyDescent="0.2">
      <c r="F1066" s="22"/>
    </row>
    <row r="1067" spans="6:6" x14ac:dyDescent="0.2">
      <c r="F1067" s="22"/>
    </row>
    <row r="1068" spans="6:6" x14ac:dyDescent="0.2">
      <c r="F1068" s="22"/>
    </row>
    <row r="1069" spans="6:6" x14ac:dyDescent="0.2">
      <c r="F1069" s="22"/>
    </row>
    <row r="1070" spans="6:6" x14ac:dyDescent="0.2">
      <c r="F1070" s="22"/>
    </row>
    <row r="1071" spans="6:6" x14ac:dyDescent="0.2">
      <c r="F1071" s="22"/>
    </row>
    <row r="1072" spans="6:6" x14ac:dyDescent="0.2">
      <c r="F1072" s="22"/>
    </row>
    <row r="1073" spans="6:6" x14ac:dyDescent="0.2">
      <c r="F1073" s="22"/>
    </row>
    <row r="1074" spans="6:6" x14ac:dyDescent="0.2">
      <c r="F1074" s="22"/>
    </row>
    <row r="1075" spans="6:6" x14ac:dyDescent="0.2">
      <c r="F1075" s="22"/>
    </row>
    <row r="1076" spans="6:6" x14ac:dyDescent="0.2">
      <c r="F1076" s="22"/>
    </row>
    <row r="1077" spans="6:6" x14ac:dyDescent="0.2">
      <c r="F1077" s="22"/>
    </row>
    <row r="1078" spans="6:6" x14ac:dyDescent="0.2">
      <c r="F1078" s="22"/>
    </row>
    <row r="1079" spans="6:6" x14ac:dyDescent="0.2">
      <c r="F1079" s="22"/>
    </row>
    <row r="1080" spans="6:6" x14ac:dyDescent="0.2">
      <c r="F1080" s="22"/>
    </row>
    <row r="1081" spans="6:6" x14ac:dyDescent="0.2">
      <c r="F1081" s="22"/>
    </row>
    <row r="1082" spans="6:6" x14ac:dyDescent="0.2">
      <c r="F1082" s="22"/>
    </row>
    <row r="1083" spans="6:6" x14ac:dyDescent="0.2">
      <c r="F1083" s="22"/>
    </row>
    <row r="1084" spans="6:6" x14ac:dyDescent="0.2">
      <c r="F1084" s="22"/>
    </row>
    <row r="1085" spans="6:6" x14ac:dyDescent="0.2">
      <c r="F1085" s="22"/>
    </row>
    <row r="1086" spans="6:6" x14ac:dyDescent="0.2">
      <c r="F1086" s="22"/>
    </row>
    <row r="1087" spans="6:6" x14ac:dyDescent="0.2">
      <c r="F1087" s="22"/>
    </row>
    <row r="1088" spans="6:6" x14ac:dyDescent="0.2">
      <c r="F1088" s="22"/>
    </row>
    <row r="1089" spans="6:6" x14ac:dyDescent="0.2">
      <c r="F1089" s="22"/>
    </row>
    <row r="1090" spans="6:6" x14ac:dyDescent="0.2">
      <c r="F1090" s="22"/>
    </row>
    <row r="1091" spans="6:6" x14ac:dyDescent="0.2">
      <c r="F1091" s="22"/>
    </row>
    <row r="1092" spans="6:6" x14ac:dyDescent="0.2">
      <c r="F1092" s="22"/>
    </row>
    <row r="1093" spans="6:6" x14ac:dyDescent="0.2">
      <c r="F1093" s="22"/>
    </row>
    <row r="1094" spans="6:6" x14ac:dyDescent="0.2">
      <c r="F1094" s="22"/>
    </row>
    <row r="1095" spans="6:6" x14ac:dyDescent="0.2">
      <c r="F1095" s="22"/>
    </row>
    <row r="1096" spans="6:6" x14ac:dyDescent="0.2">
      <c r="F1096" s="22"/>
    </row>
    <row r="1097" spans="6:6" x14ac:dyDescent="0.2">
      <c r="F1097" s="22"/>
    </row>
    <row r="1098" spans="6:6" x14ac:dyDescent="0.2">
      <c r="F1098" s="22"/>
    </row>
    <row r="1099" spans="6:6" x14ac:dyDescent="0.2">
      <c r="F1099" s="22"/>
    </row>
    <row r="1100" spans="6:6" x14ac:dyDescent="0.2">
      <c r="F1100" s="22"/>
    </row>
    <row r="1101" spans="6:6" x14ac:dyDescent="0.2">
      <c r="F1101" s="22"/>
    </row>
    <row r="1102" spans="6:6" x14ac:dyDescent="0.2">
      <c r="F1102" s="22"/>
    </row>
    <row r="1103" spans="6:6" x14ac:dyDescent="0.2">
      <c r="F1103" s="22"/>
    </row>
    <row r="1104" spans="6:6" x14ac:dyDescent="0.2">
      <c r="F1104" s="22"/>
    </row>
    <row r="1105" spans="6:6" x14ac:dyDescent="0.2">
      <c r="F1105" s="22"/>
    </row>
    <row r="1106" spans="6:6" x14ac:dyDescent="0.2">
      <c r="F1106" s="22"/>
    </row>
    <row r="1107" spans="6:6" x14ac:dyDescent="0.2">
      <c r="F1107" s="22"/>
    </row>
    <row r="1108" spans="6:6" x14ac:dyDescent="0.2">
      <c r="F1108" s="22"/>
    </row>
    <row r="1109" spans="6:6" x14ac:dyDescent="0.2">
      <c r="F1109" s="22"/>
    </row>
    <row r="1110" spans="6:6" x14ac:dyDescent="0.2">
      <c r="F1110" s="22"/>
    </row>
    <row r="1111" spans="6:6" x14ac:dyDescent="0.2">
      <c r="F1111" s="22"/>
    </row>
    <row r="1112" spans="6:6" x14ac:dyDescent="0.2">
      <c r="F1112" s="22"/>
    </row>
    <row r="1113" spans="6:6" x14ac:dyDescent="0.2">
      <c r="F1113" s="22"/>
    </row>
    <row r="1114" spans="6:6" x14ac:dyDescent="0.2">
      <c r="F1114" s="22"/>
    </row>
    <row r="1115" spans="6:6" x14ac:dyDescent="0.2">
      <c r="F1115" s="22"/>
    </row>
    <row r="1116" spans="6:6" x14ac:dyDescent="0.2">
      <c r="F1116" s="22"/>
    </row>
    <row r="1117" spans="6:6" x14ac:dyDescent="0.2">
      <c r="F1117" s="22"/>
    </row>
    <row r="1118" spans="6:6" x14ac:dyDescent="0.2">
      <c r="F1118" s="22"/>
    </row>
    <row r="1119" spans="6:6" x14ac:dyDescent="0.2">
      <c r="F1119" s="22"/>
    </row>
    <row r="1120" spans="6:6" x14ac:dyDescent="0.2">
      <c r="F1120" s="22"/>
    </row>
    <row r="1121" spans="6:6" x14ac:dyDescent="0.2">
      <c r="F1121" s="22"/>
    </row>
    <row r="1122" spans="6:6" x14ac:dyDescent="0.2">
      <c r="F1122" s="22"/>
    </row>
    <row r="1123" spans="6:6" x14ac:dyDescent="0.2">
      <c r="F1123" s="22"/>
    </row>
    <row r="1124" spans="6:6" x14ac:dyDescent="0.2">
      <c r="F1124" s="22"/>
    </row>
    <row r="1125" spans="6:6" x14ac:dyDescent="0.2">
      <c r="F1125" s="22"/>
    </row>
    <row r="1126" spans="6:6" x14ac:dyDescent="0.2">
      <c r="F1126" s="22"/>
    </row>
    <row r="1127" spans="6:6" x14ac:dyDescent="0.2">
      <c r="F1127" s="22"/>
    </row>
    <row r="1128" spans="6:6" x14ac:dyDescent="0.2">
      <c r="F1128" s="22"/>
    </row>
    <row r="1129" spans="6:6" x14ac:dyDescent="0.2">
      <c r="F1129" s="22"/>
    </row>
    <row r="1130" spans="6:6" x14ac:dyDescent="0.2">
      <c r="F1130" s="22"/>
    </row>
    <row r="1131" spans="6:6" x14ac:dyDescent="0.2">
      <c r="F1131" s="22"/>
    </row>
    <row r="1132" spans="6:6" x14ac:dyDescent="0.2">
      <c r="F1132" s="22"/>
    </row>
    <row r="1133" spans="6:6" x14ac:dyDescent="0.2">
      <c r="F1133" s="22"/>
    </row>
    <row r="1134" spans="6:6" x14ac:dyDescent="0.2">
      <c r="F1134" s="22"/>
    </row>
    <row r="1135" spans="6:6" x14ac:dyDescent="0.2">
      <c r="F1135" s="22"/>
    </row>
    <row r="1136" spans="6:6" x14ac:dyDescent="0.2">
      <c r="F1136" s="22"/>
    </row>
    <row r="1137" spans="6:6" x14ac:dyDescent="0.2">
      <c r="F1137" s="22"/>
    </row>
    <row r="1138" spans="6:6" x14ac:dyDescent="0.2">
      <c r="F1138" s="22"/>
    </row>
    <row r="1139" spans="6:6" x14ac:dyDescent="0.2">
      <c r="F1139" s="22"/>
    </row>
    <row r="1140" spans="6:6" x14ac:dyDescent="0.2">
      <c r="F1140" s="22"/>
    </row>
    <row r="1141" spans="6:6" x14ac:dyDescent="0.2">
      <c r="F1141" s="22"/>
    </row>
    <row r="1142" spans="6:6" x14ac:dyDescent="0.2">
      <c r="F1142" s="22"/>
    </row>
    <row r="1143" spans="6:6" x14ac:dyDescent="0.2">
      <c r="F1143" s="22"/>
    </row>
    <row r="1144" spans="6:6" x14ac:dyDescent="0.2">
      <c r="F1144" s="22"/>
    </row>
    <row r="1145" spans="6:6" x14ac:dyDescent="0.2">
      <c r="F1145" s="22"/>
    </row>
    <row r="1146" spans="6:6" x14ac:dyDescent="0.2">
      <c r="F1146" s="22"/>
    </row>
    <row r="1147" spans="6:6" x14ac:dyDescent="0.2">
      <c r="F1147" s="22"/>
    </row>
    <row r="1148" spans="6:6" x14ac:dyDescent="0.2">
      <c r="F1148" s="22"/>
    </row>
    <row r="1149" spans="6:6" x14ac:dyDescent="0.2">
      <c r="F1149" s="22"/>
    </row>
    <row r="1150" spans="6:6" x14ac:dyDescent="0.2">
      <c r="F1150" s="22"/>
    </row>
    <row r="1151" spans="6:6" x14ac:dyDescent="0.2">
      <c r="F1151" s="22"/>
    </row>
    <row r="1152" spans="6:6" x14ac:dyDescent="0.2">
      <c r="F1152" s="22"/>
    </row>
    <row r="1153" spans="6:6" x14ac:dyDescent="0.2">
      <c r="F1153" s="22"/>
    </row>
    <row r="1154" spans="6:6" x14ac:dyDescent="0.2">
      <c r="F1154" s="22"/>
    </row>
    <row r="1155" spans="6:6" x14ac:dyDescent="0.2">
      <c r="F1155" s="22"/>
    </row>
    <row r="1156" spans="6:6" x14ac:dyDescent="0.2">
      <c r="F1156" s="22"/>
    </row>
    <row r="1157" spans="6:6" x14ac:dyDescent="0.2">
      <c r="F1157" s="22"/>
    </row>
    <row r="1158" spans="6:6" x14ac:dyDescent="0.2">
      <c r="F1158" s="22"/>
    </row>
    <row r="1159" spans="6:6" x14ac:dyDescent="0.2">
      <c r="F1159" s="22"/>
    </row>
    <row r="1160" spans="6:6" x14ac:dyDescent="0.2">
      <c r="F1160" s="22"/>
    </row>
    <row r="1161" spans="6:6" x14ac:dyDescent="0.2">
      <c r="F1161" s="22"/>
    </row>
    <row r="1162" spans="6:6" x14ac:dyDescent="0.2">
      <c r="F1162" s="22"/>
    </row>
    <row r="1163" spans="6:6" x14ac:dyDescent="0.2">
      <c r="F1163" s="22"/>
    </row>
    <row r="1164" spans="6:6" x14ac:dyDescent="0.2">
      <c r="F1164" s="22"/>
    </row>
    <row r="1165" spans="6:6" x14ac:dyDescent="0.2">
      <c r="F1165" s="22"/>
    </row>
    <row r="1166" spans="6:6" x14ac:dyDescent="0.2">
      <c r="F1166" s="22"/>
    </row>
    <row r="1167" spans="6:6" x14ac:dyDescent="0.2">
      <c r="F1167" s="22"/>
    </row>
    <row r="1168" spans="6:6" x14ac:dyDescent="0.2">
      <c r="F1168" s="22"/>
    </row>
    <row r="1169" spans="6:6" x14ac:dyDescent="0.2">
      <c r="F1169" s="22"/>
    </row>
    <row r="1170" spans="6:6" x14ac:dyDescent="0.2">
      <c r="F1170" s="22"/>
    </row>
    <row r="1171" spans="6:6" x14ac:dyDescent="0.2">
      <c r="F1171" s="22"/>
    </row>
    <row r="1172" spans="6:6" x14ac:dyDescent="0.2">
      <c r="F1172" s="22"/>
    </row>
    <row r="1173" spans="6:6" x14ac:dyDescent="0.2">
      <c r="F1173" s="22"/>
    </row>
    <row r="1174" spans="6:6" x14ac:dyDescent="0.2">
      <c r="F1174" s="22"/>
    </row>
    <row r="1175" spans="6:6" x14ac:dyDescent="0.2">
      <c r="F1175" s="22"/>
    </row>
    <row r="1176" spans="6:6" x14ac:dyDescent="0.2">
      <c r="F1176" s="22"/>
    </row>
    <row r="1177" spans="6:6" x14ac:dyDescent="0.2">
      <c r="F1177" s="22"/>
    </row>
    <row r="1178" spans="6:6" x14ac:dyDescent="0.2">
      <c r="F1178" s="22"/>
    </row>
    <row r="1179" spans="6:6" x14ac:dyDescent="0.2">
      <c r="F1179" s="22"/>
    </row>
    <row r="1180" spans="6:6" x14ac:dyDescent="0.2">
      <c r="F1180" s="22"/>
    </row>
    <row r="1181" spans="6:6" x14ac:dyDescent="0.2">
      <c r="F1181" s="22"/>
    </row>
    <row r="1182" spans="6:6" x14ac:dyDescent="0.2">
      <c r="F1182" s="22"/>
    </row>
    <row r="1183" spans="6:6" x14ac:dyDescent="0.2">
      <c r="F1183" s="22"/>
    </row>
    <row r="1184" spans="6:6" x14ac:dyDescent="0.2">
      <c r="F1184" s="22"/>
    </row>
    <row r="1185" spans="6:6" x14ac:dyDescent="0.2">
      <c r="F1185" s="22"/>
    </row>
    <row r="1186" spans="6:6" x14ac:dyDescent="0.2">
      <c r="F1186" s="22"/>
    </row>
    <row r="1187" spans="6:6" x14ac:dyDescent="0.2">
      <c r="F1187" s="22"/>
    </row>
    <row r="1188" spans="6:6" x14ac:dyDescent="0.2">
      <c r="F1188" s="22"/>
    </row>
    <row r="1189" spans="6:6" x14ac:dyDescent="0.2">
      <c r="F1189" s="22"/>
    </row>
    <row r="1190" spans="6:6" x14ac:dyDescent="0.2">
      <c r="F1190" s="22"/>
    </row>
    <row r="1191" spans="6:6" x14ac:dyDescent="0.2">
      <c r="F1191" s="22"/>
    </row>
    <row r="1192" spans="6:6" x14ac:dyDescent="0.2">
      <c r="F1192" s="22"/>
    </row>
    <row r="1193" spans="6:6" x14ac:dyDescent="0.2">
      <c r="F1193" s="22"/>
    </row>
    <row r="1194" spans="6:6" x14ac:dyDescent="0.2">
      <c r="F1194" s="22"/>
    </row>
    <row r="1195" spans="6:6" x14ac:dyDescent="0.2">
      <c r="F1195" s="22"/>
    </row>
    <row r="1196" spans="6:6" x14ac:dyDescent="0.2">
      <c r="F1196" s="22"/>
    </row>
    <row r="1197" spans="6:6" x14ac:dyDescent="0.2">
      <c r="F1197" s="22"/>
    </row>
    <row r="1198" spans="6:6" x14ac:dyDescent="0.2">
      <c r="F1198" s="22"/>
    </row>
    <row r="1199" spans="6:6" x14ac:dyDescent="0.2">
      <c r="F1199" s="22"/>
    </row>
    <row r="1200" spans="6:6" x14ac:dyDescent="0.2">
      <c r="F1200" s="22"/>
    </row>
    <row r="1201" spans="6:6" x14ac:dyDescent="0.2">
      <c r="F1201" s="2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B7124-E3DB-CB4F-930A-37CDB7B957A8}">
  <sheetPr codeName="Sheet2"/>
  <dimension ref="A1:F14"/>
  <sheetViews>
    <sheetView workbookViewId="0">
      <selection activeCell="E14" sqref="E14"/>
    </sheetView>
  </sheetViews>
  <sheetFormatPr baseColWidth="10" defaultRowHeight="16" x14ac:dyDescent="0.2"/>
  <cols>
    <col min="1" max="1" width="10.83203125" style="13"/>
  </cols>
  <sheetData>
    <row r="1" spans="1:6" x14ac:dyDescent="0.2">
      <c r="A1" s="13">
        <v>45717</v>
      </c>
    </row>
    <row r="2" spans="1:6" x14ac:dyDescent="0.2">
      <c r="A2" s="13">
        <f>A1+(EDATE(A1, 12) - A1) / 5</f>
        <v>45790</v>
      </c>
    </row>
    <row r="3" spans="1:6" x14ac:dyDescent="0.2">
      <c r="A3" s="13">
        <f t="shared" ref="A3:A8" si="0">A2+(EDATE(A2, 12) - A2) / 5</f>
        <v>45863</v>
      </c>
    </row>
    <row r="4" spans="1:6" x14ac:dyDescent="0.2">
      <c r="A4" s="13">
        <f t="shared" si="0"/>
        <v>45936</v>
      </c>
    </row>
    <row r="5" spans="1:6" x14ac:dyDescent="0.2">
      <c r="A5" s="13">
        <f t="shared" si="0"/>
        <v>46009</v>
      </c>
    </row>
    <row r="6" spans="1:6" x14ac:dyDescent="0.2">
      <c r="A6" s="13">
        <f t="shared" si="0"/>
        <v>46082</v>
      </c>
    </row>
    <row r="7" spans="1:6" x14ac:dyDescent="0.2">
      <c r="A7" s="13">
        <f t="shared" si="0"/>
        <v>46155</v>
      </c>
      <c r="E7">
        <f>ROW(E8)</f>
        <v>8</v>
      </c>
    </row>
    <row r="8" spans="1:6" x14ac:dyDescent="0.2">
      <c r="A8" s="13">
        <f t="shared" si="0"/>
        <v>46228</v>
      </c>
    </row>
    <row r="13" spans="1:6" x14ac:dyDescent="0.2">
      <c r="F13" t="b">
        <f>MOD(12, 24)=0</f>
        <v>0</v>
      </c>
    </row>
    <row r="14" spans="1:6" x14ac:dyDescent="0.2">
      <c r="D14">
        <f>MOD(12, 24)</f>
        <v>12</v>
      </c>
      <c r="E14" s="9" t="str">
        <f t="shared" ref="E14" si="1">IF(AND(G13&lt;&gt;"", G13&gt;0.001), 0,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Sheet2</vt:lpstr>
      <vt:lpstr>downPayment</vt:lpstr>
      <vt:lpstr>homeValue</vt:lpstr>
      <vt:lpstr>interestRate</vt:lpstr>
      <vt:lpstr>loanTerm</vt:lpstr>
      <vt:lpstr>monthlyPayments</vt:lpstr>
      <vt:lpstr>periodsPerYear</vt:lpstr>
      <vt:lpstr>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S. Chen</dc:creator>
  <cp:lastModifiedBy>Sky S. Chen</cp:lastModifiedBy>
  <dcterms:created xsi:type="dcterms:W3CDTF">2025-03-04T16:19:30Z</dcterms:created>
  <dcterms:modified xsi:type="dcterms:W3CDTF">2025-03-21T14:50:08Z</dcterms:modified>
</cp:coreProperties>
</file>